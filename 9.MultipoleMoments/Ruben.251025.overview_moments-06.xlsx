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en.240606.overview_mo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<sst xmlns="http://schemas.openxmlformats.org/spreadsheetml/2006/main" count="374" uniqueCount="158">
  <si>
    <t xml:space="preserve">Oblate</t>
  </si>
  <si>
    <t xml:space="preserve">Prolate</t>
  </si>
  <si>
    <t xml:space="preserve">Minimum</t>
  </si>
  <si>
    <t xml:space="preserve">name</t>
  </si>
  <si>
    <t xml:space="preserve">name2</t>
  </si>
  <si>
    <t xml:space="preserve">file</t>
  </si>
  <si>
    <t xml:space="preserve">N</t>
  </si>
  <si>
    <t xml:space="preserve">Z</t>
  </si>
  <si>
    <t xml:space="preserve">A</t>
  </si>
  <si>
    <t xml:space="preserve">odd</t>
  </si>
  <si>
    <t xml:space="preserve">spin</t>
  </si>
  <si>
    <t xml:space="preserve">parity</t>
  </si>
  <si>
    <t xml:space="preserve">Omega</t>
  </si>
  <si>
    <t xml:space="preserve">Omega_err</t>
  </si>
  <si>
    <t xml:space="preserve">Omega/r2</t>
  </si>
  <si>
    <t xml:space="preserve">Omega/r2 err</t>
  </si>
  <si>
    <t xml:space="preserve">Q</t>
  </si>
  <si>
    <t xml:space="preserve">DQ</t>
  </si>
  <si>
    <t xml:space="preserve">Q sign?</t>
  </si>
  <si>
    <t xml:space="preserve">Nil</t>
  </si>
  <si>
    <t xml:space="preserve">Exc</t>
  </si>
  <si>
    <t xml:space="preserve">N-par</t>
  </si>
  <si>
    <t xml:space="preserve">par</t>
  </si>
  <si>
    <t xml:space="preserve">Pro/Obl</t>
  </si>
  <si>
    <t xml:space="preserve">Qnil</t>
  </si>
  <si>
    <t xml:space="preserve">Stab</t>
  </si>
  <si>
    <t xml:space="preserve">Efun</t>
  </si>
  <si>
    <t xml:space="preserve">Spin</t>
  </si>
  <si>
    <t xml:space="preserve">miu</t>
  </si>
  <si>
    <t xml:space="preserve">SpinM3</t>
  </si>
  <si>
    <t xml:space="preserve">M3</t>
  </si>
  <si>
    <t xml:space="preserve">Bad</t>
  </si>
  <si>
    <t xml:space="preserve">Q(b)</t>
  </si>
  <si>
    <t xml:space="preserve">ResQ</t>
  </si>
  <si>
    <t xml:space="preserve">ResOmega</t>
  </si>
  <si>
    <t xml:space="preserve">$^{27}$Al</t>
  </si>
  <si>
    <t xml:space="preserve">al027</t>
  </si>
  <si>
    <t xml:space="preserve">al027-111</t>
  </si>
  <si>
    <t xml:space="preserve">+</t>
  </si>
  <si>
    <t xml:space="preserve">[202]5/2</t>
  </si>
  <si>
    <t xml:space="preserve">obl</t>
  </si>
  <si>
    <t xml:space="preserve">5/2</t>
  </si>
  <si>
    <t xml:space="preserve">pro </t>
  </si>
  <si>
    <t xml:space="preserve"> [202]5/2 </t>
  </si>
  <si>
    <t xml:space="preserve"> 5/2  </t>
  </si>
  <si>
    <t xml:space="preserve">$^{137}$Ba</t>
  </si>
  <si>
    <t xml:space="preserve">ba137</t>
  </si>
  <si>
    <t xml:space="preserve">ba137-111</t>
  </si>
  <si>
    <t xml:space="preserve">[402]3/2</t>
  </si>
  <si>
    <t xml:space="preserve">3/2</t>
  </si>
  <si>
    <t xml:space="preserve"> [402]3/2 </t>
  </si>
  <si>
    <t xml:space="preserve"> 3/2  </t>
  </si>
  <si>
    <t xml:space="preserve">$^{209}$Bi</t>
  </si>
  <si>
    <t xml:space="preserve">bi209</t>
  </si>
  <si>
    <t xml:space="preserve">bi209-111</t>
  </si>
  <si>
    <t xml:space="preserve">-</t>
  </si>
  <si>
    <t xml:space="preserve">[505]9/2</t>
  </si>
  <si>
    <t xml:space="preserve">9/2</t>
  </si>
  <si>
    <t xml:space="preserve"> [505]9/2 </t>
  </si>
  <si>
    <t xml:space="preserve"> 9/2  </t>
  </si>
  <si>
    <t xml:space="preserve">$^{79}$Br</t>
  </si>
  <si>
    <t xml:space="preserve">br079</t>
  </si>
  <si>
    <t xml:space="preserve">br079-111</t>
  </si>
  <si>
    <t xml:space="preserve">[312]3/2</t>
  </si>
  <si>
    <t xml:space="preserve">[301]3/2</t>
  </si>
  <si>
    <t xml:space="preserve"> [301]3/2 </t>
  </si>
  <si>
    <t xml:space="preserve">br079-112</t>
  </si>
  <si>
    <t xml:space="preserve"> [312]3/2 </t>
  </si>
  <si>
    <t xml:space="preserve">$^{81}$Br</t>
  </si>
  <si>
    <t xml:space="preserve">br081</t>
  </si>
  <si>
    <t xml:space="preserve">br081-111</t>
  </si>
  <si>
    <t xml:space="preserve">br081-112</t>
  </si>
  <si>
    <t xml:space="preserve">$^{35}$Cl</t>
  </si>
  <si>
    <t xml:space="preserve">cl035</t>
  </si>
  <si>
    <t xml:space="preserve">cl035-111</t>
  </si>
  <si>
    <t xml:space="preserve">[202]3/2</t>
  </si>
  <si>
    <t xml:space="preserve"> [202]3/2 </t>
  </si>
  <si>
    <t xml:space="preserve">$^{37}$Cl</t>
  </si>
  <si>
    <t xml:space="preserve">cl037</t>
  </si>
  <si>
    <t xml:space="preserve">cl037-111</t>
  </si>
  <si>
    <t xml:space="preserve">$^{133}$Cs</t>
  </si>
  <si>
    <t xml:space="preserve">cs133</t>
  </si>
  <si>
    <t xml:space="preserve">cs133-111</t>
  </si>
  <si>
    <t xml:space="preserve">[404]7/2</t>
  </si>
  <si>
    <t xml:space="preserve">7/2</t>
  </si>
  <si>
    <t xml:space="preserve"> [404]7/2 </t>
  </si>
  <si>
    <t xml:space="preserve"> 7/2  </t>
  </si>
  <si>
    <t xml:space="preserve">$^{69}$Ga</t>
  </si>
  <si>
    <t xml:space="preserve">ga069</t>
  </si>
  <si>
    <t xml:space="preserve">ga069-111</t>
  </si>
  <si>
    <t xml:space="preserve">$^{71}$Ga</t>
  </si>
  <si>
    <t xml:space="preserve">ga071</t>
  </si>
  <si>
    <t xml:space="preserve">ga071-111</t>
  </si>
  <si>
    <t xml:space="preserve">$^{155}$Gd</t>
  </si>
  <si>
    <t xml:space="preserve">gd155</t>
  </si>
  <si>
    <t xml:space="preserve">gd155-111</t>
  </si>
  <si>
    <t xml:space="preserve">[501]3/2</t>
  </si>
  <si>
    <t xml:space="preserve">[521]3/2</t>
  </si>
  <si>
    <t xml:space="preserve"> [521]3/2 </t>
  </si>
  <si>
    <t xml:space="preserve">$^{201}$Hg</t>
  </si>
  <si>
    <t xml:space="preserve">hg201</t>
  </si>
  <si>
    <t xml:space="preserve">hg201-111</t>
  </si>
  <si>
    <t xml:space="preserve">[541]3/2</t>
  </si>
  <si>
    <t xml:space="preserve">[512]3/2</t>
  </si>
  <si>
    <t xml:space="preserve"> [512]3/2 </t>
  </si>
  <si>
    <t xml:space="preserve">$^{165}$Ho</t>
  </si>
  <si>
    <t xml:space="preserve">ho165</t>
  </si>
  <si>
    <t xml:space="preserve">ho165-111</t>
  </si>
  <si>
    <t xml:space="preserve">[523]7/2</t>
  </si>
  <si>
    <t xml:space="preserve"> [523]7/2 </t>
  </si>
  <si>
    <t xml:space="preserve">$^{127}$I</t>
  </si>
  <si>
    <t xml:space="preserve">i_127</t>
  </si>
  <si>
    <t xml:space="preserve">i_127-111</t>
  </si>
  <si>
    <t xml:space="preserve">[402]5/2</t>
  </si>
  <si>
    <t xml:space="preserve">[413]5/2</t>
  </si>
  <si>
    <t xml:space="preserve"> [413]5/2 </t>
  </si>
  <si>
    <t xml:space="preserve">$^{113}$In</t>
  </si>
  <si>
    <t xml:space="preserve">in113</t>
  </si>
  <si>
    <t xml:space="preserve">in113-111</t>
  </si>
  <si>
    <t xml:space="preserve">[404]9/2</t>
  </si>
  <si>
    <t xml:space="preserve"> [404]9/2 </t>
  </si>
  <si>
    <t xml:space="preserve">$^{115}$In</t>
  </si>
  <si>
    <t xml:space="preserve">in115</t>
  </si>
  <si>
    <t xml:space="preserve">in115-111</t>
  </si>
  <si>
    <t xml:space="preserve">$^{39}$K</t>
  </si>
  <si>
    <t xml:space="preserve">k_039</t>
  </si>
  <si>
    <t xml:space="preserve">k_039-111</t>
  </si>
  <si>
    <t xml:space="preserve">$^{83}$Kr</t>
  </si>
  <si>
    <t xml:space="preserve">kr083</t>
  </si>
  <si>
    <t xml:space="preserve">kr083-111</t>
  </si>
  <si>
    <t xml:space="preserve">[411]3/2</t>
  </si>
  <si>
    <t xml:space="preserve">[431]3/2</t>
  </si>
  <si>
    <t xml:space="preserve"> [431]3/2 </t>
  </si>
  <si>
    <t xml:space="preserve">$^{25}$Mg</t>
  </si>
  <si>
    <t xml:space="preserve">mg025</t>
  </si>
  <si>
    <t xml:space="preserve">mg025-111</t>
  </si>
  <si>
    <t xml:space="preserve">$^{207}$Po</t>
  </si>
  <si>
    <t xml:space="preserve">po207</t>
  </si>
  <si>
    <t xml:space="preserve">po207-111</t>
  </si>
  <si>
    <t xml:space="preserve">[503]5/2</t>
  </si>
  <si>
    <t xml:space="preserve"> [503]5/2 </t>
  </si>
  <si>
    <t xml:space="preserve">$^{87}$Rb</t>
  </si>
  <si>
    <t xml:space="preserve">rb087</t>
  </si>
  <si>
    <t xml:space="preserve">rb087-111</t>
  </si>
  <si>
    <t xml:space="preserve">$^{45}$Sc</t>
  </si>
  <si>
    <t xml:space="preserve">sc045</t>
  </si>
  <si>
    <t xml:space="preserve">sc045-111</t>
  </si>
  <si>
    <t xml:space="preserve">[303]7/2</t>
  </si>
  <si>
    <t xml:space="preserve"> [303]7/2 </t>
  </si>
  <si>
    <t xml:space="preserve">$^{131}$Xe</t>
  </si>
  <si>
    <t xml:space="preserve">xe131</t>
  </si>
  <si>
    <t xml:space="preserve">xe131-111</t>
  </si>
  <si>
    <t xml:space="preserve">$^{173}$Yb</t>
  </si>
  <si>
    <t xml:space="preserve">yb173</t>
  </si>
  <si>
    <t xml:space="preserve">yb173-111</t>
  </si>
  <si>
    <t xml:space="preserve">[512]5/2</t>
  </si>
  <si>
    <t xml:space="preserve"> [512]5/2 </t>
  </si>
  <si>
    <t xml:space="preserve">Z-odd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</si>
</sst>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"/>
    <numFmt numFmtId="167" formatCode="0.000000"/>
    <numFmt numFmtId="168" formatCode="0.00000"/>
    <numFmt numFmtId="169" formatCode="General"/>
    <numFmt numFmtId="170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3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1" activeCellId="0" sqref="J:J"/>
    </sheetView>
  </sheetViews>
  <sheetFormatPr defaultColWidth="8.4765625" defaultRowHeight="14.25" zeroHeight="false" outlineLevelRow="0" outlineLevelCol="0"/>
  <cols>
    <col collapsed="false" customWidth="true" hidden="false" outlineLevel="0" max="1" min="1" style="0" width="17.57"/>
    <col collapsed="false" customWidth="true" hidden="false" outlineLevel="0" max="3" min="3" style="1" width="9.58"/>
    <col collapsed="false" customWidth="true" hidden="false" outlineLevel="0" max="7" min="4" style="2" width="8.84"/>
    <col collapsed="false" customWidth="true" hidden="false" outlineLevel="0" max="15" min="14" style="3" width="8.84"/>
    <col collapsed="false" customWidth="true" hidden="false" outlineLevel="0" max="16" min="16" style="4" width="8.84"/>
    <col collapsed="false" customWidth="true" hidden="false" outlineLevel="0" max="23" min="23" style="5" width="8.84"/>
    <col collapsed="false" customWidth="true" hidden="false" outlineLevel="0" max="24" min="24" style="5" width="11.74"/>
    <col collapsed="false" customWidth="true" hidden="false" outlineLevel="0" max="26" min="25" style="5" width="9.16"/>
    <col collapsed="false" customWidth="true" hidden="false" outlineLevel="0" max="27" min="27" style="1" width="9.74"/>
    <col collapsed="false" customWidth="true" hidden="false" outlineLevel="0" max="29" min="29" style="6" width="8.84"/>
    <col collapsed="false" customWidth="true" hidden="false" outlineLevel="0" max="33" min="33" style="1" width="8.84"/>
    <col collapsed="false" customWidth="true" hidden="false" outlineLevel="0" max="38" min="38" style="1" width="12.26"/>
    <col collapsed="false" customWidth="true" hidden="false" outlineLevel="0" max="41" min="41" style="1" width="10.58"/>
    <col collapsed="false" customWidth="true" hidden="false" outlineLevel="0" max="47" min="47" style="5" width="8.84"/>
  </cols>
  <sheetData>
    <row r="1" s="7" customFormat="true" ht="14.25" hidden="false" customHeight="false" outlineLevel="0" collapsed="false">
      <c r="D1" s="8"/>
      <c r="E1" s="8"/>
      <c r="F1" s="8"/>
      <c r="G1" s="8"/>
      <c r="N1" s="9"/>
      <c r="O1" s="9"/>
      <c r="P1" s="10"/>
      <c r="Q1" s="11" t="s">
        <v>0</v>
      </c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2" t="n">
        <f aca="false">4*ATAN(1)</f>
        <v>3.14159265358979</v>
      </c>
      <c r="AE1" s="13" t="s">
        <v>1</v>
      </c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4" t="s">
        <v>2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</row>
    <row r="2" customFormat="false" ht="14.25" hidden="false" customHeight="false" outlineLevel="0" collapsed="false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5" t="s">
        <v>10</v>
      </c>
      <c r="I2" s="15" t="s">
        <v>11</v>
      </c>
      <c r="J2" s="15" t="s">
        <v>12</v>
      </c>
      <c r="K2" s="15" t="s">
        <v>13</v>
      </c>
      <c r="L2" s="15" t="s">
        <v>14</v>
      </c>
      <c r="M2" s="15" t="s">
        <v>15</v>
      </c>
      <c r="N2" s="3" t="s">
        <v>16</v>
      </c>
      <c r="O2" s="3" t="s">
        <v>17</v>
      </c>
      <c r="P2" s="4" t="s">
        <v>18</v>
      </c>
      <c r="Q2" s="16" t="s">
        <v>19</v>
      </c>
      <c r="R2" s="17" t="s">
        <v>20</v>
      </c>
      <c r="S2" s="17" t="s">
        <v>21</v>
      </c>
      <c r="T2" s="17" t="s">
        <v>22</v>
      </c>
      <c r="U2" s="17" t="s">
        <v>23</v>
      </c>
      <c r="V2" s="17" t="s">
        <v>24</v>
      </c>
      <c r="W2" s="18" t="s">
        <v>25</v>
      </c>
      <c r="X2" s="18" t="s">
        <v>26</v>
      </c>
      <c r="Y2" s="18" t="s">
        <v>27</v>
      </c>
      <c r="Z2" s="18" t="s">
        <v>28</v>
      </c>
      <c r="AA2" s="17" t="s">
        <v>16</v>
      </c>
      <c r="AB2" s="18" t="s">
        <v>29</v>
      </c>
      <c r="AC2" s="19" t="s">
        <v>30</v>
      </c>
      <c r="AD2" s="17" t="s">
        <v>12</v>
      </c>
      <c r="AE2" s="20" t="s">
        <v>19</v>
      </c>
      <c r="AF2" s="17" t="s">
        <v>20</v>
      </c>
      <c r="AG2" s="17" t="s">
        <v>21</v>
      </c>
      <c r="AH2" s="17" t="s">
        <v>22</v>
      </c>
      <c r="AI2" s="17" t="s">
        <v>23</v>
      </c>
      <c r="AJ2" s="17" t="s">
        <v>24</v>
      </c>
      <c r="AK2" s="18" t="s">
        <v>25</v>
      </c>
      <c r="AL2" s="18" t="s">
        <v>26</v>
      </c>
      <c r="AM2" s="18" t="s">
        <v>27</v>
      </c>
      <c r="AN2" s="18" t="s">
        <v>28</v>
      </c>
      <c r="AO2" s="17" t="s">
        <v>16</v>
      </c>
      <c r="AP2" s="18" t="s">
        <v>29</v>
      </c>
      <c r="AQ2" s="19" t="s">
        <v>30</v>
      </c>
      <c r="AR2" s="17" t="s">
        <v>12</v>
      </c>
      <c r="AS2" s="20" t="s">
        <v>23</v>
      </c>
      <c r="AT2" s="17" t="s">
        <v>24</v>
      </c>
      <c r="AU2" s="18" t="s">
        <v>25</v>
      </c>
      <c r="AV2" s="18" t="s">
        <v>26</v>
      </c>
      <c r="AW2" s="18" t="s">
        <v>27</v>
      </c>
      <c r="AX2" s="18" t="s">
        <v>31</v>
      </c>
      <c r="AY2" s="18" t="s">
        <v>28</v>
      </c>
      <c r="AZ2" s="17" t="s">
        <v>32</v>
      </c>
      <c r="BA2" s="18" t="s">
        <v>29</v>
      </c>
      <c r="BB2" s="19" t="s">
        <v>30</v>
      </c>
      <c r="BC2" s="21" t="s">
        <v>12</v>
      </c>
      <c r="BD2" s="15" t="s">
        <v>33</v>
      </c>
      <c r="BE2" s="15" t="s">
        <v>34</v>
      </c>
    </row>
    <row r="3" customFormat="false" ht="14.25" hidden="false" customHeight="false" outlineLevel="0" collapsed="false">
      <c r="A3" s="1" t="s">
        <v>35</v>
      </c>
      <c r="B3" s="1" t="s">
        <v>36</v>
      </c>
      <c r="C3" s="1" t="s">
        <v>37</v>
      </c>
      <c r="D3" s="2" t="n">
        <v>14</v>
      </c>
      <c r="E3" s="2" t="n">
        <v>13</v>
      </c>
      <c r="F3" s="2" t="n">
        <f aca="false">D3+E3</f>
        <v>27</v>
      </c>
      <c r="G3" s="2" t="str">
        <f aca="false">IF(D3-EVEN(D3)=0,"Z-odd","N-odd")</f>
        <v>Z-odd</v>
      </c>
      <c r="H3" s="1" t="n">
        <v>2.5</v>
      </c>
      <c r="I3" s="15" t="s">
        <v>38</v>
      </c>
      <c r="J3" s="1" t="n">
        <v>0.159</v>
      </c>
      <c r="K3" s="1" t="n">
        <v>0.004</v>
      </c>
      <c r="L3" s="15" t="n">
        <f aca="false">J3/(0.6*1.44*($F3^(2/3)))</f>
        <v>0.0204475308641975</v>
      </c>
      <c r="M3" s="15" t="n">
        <f aca="false">K3/(0.6*1.44*($F3^(2/3)))</f>
        <v>0.00051440329218107</v>
      </c>
      <c r="N3" s="3" t="n">
        <v>0.1466</v>
      </c>
      <c r="O3" s="3" t="n">
        <v>0.001</v>
      </c>
      <c r="P3" s="4" t="n">
        <v>1</v>
      </c>
      <c r="Q3" s="16" t="s">
        <v>39</v>
      </c>
      <c r="R3" s="17" t="n">
        <v>-2</v>
      </c>
      <c r="S3" s="17" t="n">
        <v>3</v>
      </c>
      <c r="T3" s="17" t="n">
        <v>0</v>
      </c>
      <c r="U3" s="17" t="s">
        <v>40</v>
      </c>
      <c r="V3" s="17" t="s">
        <v>39</v>
      </c>
      <c r="W3" s="18" t="n">
        <v>9.5E-006</v>
      </c>
      <c r="X3" s="18" t="n">
        <v>-217.126686</v>
      </c>
      <c r="Y3" s="18" t="n">
        <v>2.5</v>
      </c>
      <c r="Z3" s="19" t="n">
        <v>3.79028</v>
      </c>
      <c r="AA3" s="19" t="n">
        <v>-10.16163</v>
      </c>
      <c r="AB3" s="22" t="s">
        <v>41</v>
      </c>
      <c r="AC3" s="19" t="n">
        <v>-16.24804</v>
      </c>
      <c r="AD3" s="19" t="n">
        <f aca="false">-AC3*SQRT(4*$AD$1/7)/100</f>
        <v>0.217699229305712</v>
      </c>
      <c r="AE3" s="20" t="s">
        <v>39</v>
      </c>
      <c r="AF3" s="17" t="n">
        <v>0</v>
      </c>
      <c r="AG3" s="17" t="n">
        <v>7</v>
      </c>
      <c r="AH3" s="17" t="n">
        <v>0</v>
      </c>
      <c r="AI3" s="17" t="s">
        <v>42</v>
      </c>
      <c r="AJ3" s="17" t="s">
        <v>43</v>
      </c>
      <c r="AK3" s="18" t="n">
        <v>4.68E-006</v>
      </c>
      <c r="AL3" s="18" t="n">
        <v>-218.029579</v>
      </c>
      <c r="AM3" s="18" t="n">
        <v>2.5</v>
      </c>
      <c r="AN3" s="19" t="n">
        <v>3.76796</v>
      </c>
      <c r="AO3" s="19" t="n">
        <v>13.08272</v>
      </c>
      <c r="AP3" s="22" t="s">
        <v>44</v>
      </c>
      <c r="AQ3" s="19" t="n">
        <v>-10.48844</v>
      </c>
      <c r="AR3" s="19" t="n">
        <f aca="false">-AQ3*SQRT(4*$AD$1/7)/100</f>
        <v>0.140529276430831</v>
      </c>
      <c r="AS3" s="20" t="str">
        <f aca="false">IF($X3&lt;$AL3,U3,AI3)</f>
        <v>pro </v>
      </c>
      <c r="AT3" s="17" t="str">
        <f aca="false">IF($X3&lt;$AL3,V3,AJ3)</f>
        <v> [202]5/2 </v>
      </c>
      <c r="AU3" s="18" t="n">
        <f aca="false">IF($X3&lt;$AL3,W3,AK3)</f>
        <v>4.68E-006</v>
      </c>
      <c r="AV3" s="17" t="n">
        <f aca="false">IF($X3&lt;$AL3,X3,AL3)</f>
        <v>-218.029579</v>
      </c>
      <c r="AW3" s="17" t="n">
        <f aca="false">IF($X3&lt;$AL3,Y3,AM3)</f>
        <v>2.5</v>
      </c>
      <c r="AX3" s="17"/>
      <c r="AY3" s="17" t="n">
        <f aca="false">IF($AX3=1,"",IF($X3&lt;$AL3,Z3,AN3))</f>
        <v>3.76796</v>
      </c>
      <c r="AZ3" s="17" t="n">
        <f aca="false">IF($AX3=1,"",IF($X3&lt;$AL3,AA3,AO3)/100)</f>
        <v>0.1308272</v>
      </c>
      <c r="BA3" s="17" t="str">
        <f aca="false">IF($AX3=1,"",IF($X3&lt;$AL3,AB3,AP3))</f>
        <v> 5/2  </v>
      </c>
      <c r="BB3" s="19" t="n">
        <f aca="false">IF($AX3=1,"",IF($X3&lt;$AL3,AC3,AQ3))</f>
        <v>-10.48844</v>
      </c>
      <c r="BC3" s="19" t="n">
        <f aca="false">IF($AX3=1,"",IF($X3&lt;$AL3,AD3,AR3))</f>
        <v>0.140529276430831</v>
      </c>
      <c r="BD3" s="3" t="n">
        <f aca="false">IF(OR(AZ3="",N3=""),"",AZ3-N3)</f>
        <v>-0.0157728</v>
      </c>
      <c r="BE3" s="3" t="n">
        <f aca="false">IF(OR(BC3="",J3=""),"",BC3-J3)</f>
        <v>-0.0184707235691691</v>
      </c>
    </row>
    <row r="4" customFormat="false" ht="14.25" hidden="false" customHeight="false" outlineLevel="0" collapsed="false">
      <c r="A4" s="1" t="s">
        <v>45</v>
      </c>
      <c r="B4" s="1" t="s">
        <v>46</v>
      </c>
      <c r="C4" s="1" t="s">
        <v>47</v>
      </c>
      <c r="D4" s="2" t="n">
        <v>81</v>
      </c>
      <c r="E4" s="2" t="n">
        <v>56</v>
      </c>
      <c r="F4" s="2" t="n">
        <f aca="false">D4+E4</f>
        <v>137</v>
      </c>
      <c r="G4" s="2" t="str">
        <f aca="false">IF(D4-EVEN(D4)=0,"Z-odd","N-odd")</f>
        <v>N-odd</v>
      </c>
      <c r="H4" s="1" t="n">
        <v>1.5</v>
      </c>
      <c r="I4" s="15" t="s">
        <v>38</v>
      </c>
      <c r="J4" s="1" t="n">
        <v>0.05057</v>
      </c>
      <c r="K4" s="1" t="n">
        <v>0.00054</v>
      </c>
      <c r="L4" s="15" t="n">
        <f aca="false">J4/(0.6*1.44*($F4^(2/3)))</f>
        <v>0.00220241336098447</v>
      </c>
      <c r="M4" s="15" t="n">
        <f aca="false">K4/(0.6*1.44*($F4^(2/3)))</f>
        <v>2.35179595596523E-005</v>
      </c>
      <c r="N4" s="3" t="n">
        <v>0.236</v>
      </c>
      <c r="O4" s="3" t="n">
        <v>0.003</v>
      </c>
      <c r="P4" s="4" t="n">
        <v>1</v>
      </c>
      <c r="Q4" s="16" t="s">
        <v>48</v>
      </c>
      <c r="R4" s="17" t="n">
        <v>-7</v>
      </c>
      <c r="S4" s="17" t="n">
        <v>41</v>
      </c>
      <c r="T4" s="17" t="n">
        <v>0</v>
      </c>
      <c r="U4" s="17" t="s">
        <v>40</v>
      </c>
      <c r="V4" s="17" t="s">
        <v>48</v>
      </c>
      <c r="W4" s="18" t="n">
        <v>-5.4E-005</v>
      </c>
      <c r="X4" s="18" t="n">
        <v>-1148.955213</v>
      </c>
      <c r="Y4" s="18" t="n">
        <v>1.5</v>
      </c>
      <c r="Z4" s="19" t="n">
        <v>0.97574</v>
      </c>
      <c r="AA4" s="19" t="n">
        <v>12.04401</v>
      </c>
      <c r="AB4" s="22" t="s">
        <v>49</v>
      </c>
      <c r="AC4" s="19" t="n">
        <v>-4.16582</v>
      </c>
      <c r="AD4" s="19" t="n">
        <f aca="false">-AC4*SQRT(4*$AD$1/7)/100</f>
        <v>0.0558157047512389</v>
      </c>
      <c r="AE4" s="20" t="s">
        <v>48</v>
      </c>
      <c r="AF4" s="17" t="n">
        <v>-6</v>
      </c>
      <c r="AG4" s="17" t="n">
        <v>43</v>
      </c>
      <c r="AH4" s="17" t="n">
        <v>0</v>
      </c>
      <c r="AI4" s="17" t="s">
        <v>42</v>
      </c>
      <c r="AJ4" s="17" t="s">
        <v>50</v>
      </c>
      <c r="AK4" s="18" t="n">
        <v>-1E-005</v>
      </c>
      <c r="AL4" s="18" t="n">
        <v>-1148.955249</v>
      </c>
      <c r="AM4" s="18" t="n">
        <v>1.5</v>
      </c>
      <c r="AN4" s="19" t="n">
        <v>0.97553</v>
      </c>
      <c r="AO4" s="19" t="n">
        <v>12.15329</v>
      </c>
      <c r="AP4" s="22" t="s">
        <v>51</v>
      </c>
      <c r="AQ4" s="19" t="n">
        <v>-4.16043</v>
      </c>
      <c r="AR4" s="19" t="n">
        <f aca="false">-AQ4*SQRT(4*$AD$1/7)/100</f>
        <v>0.0557434868809014</v>
      </c>
      <c r="AS4" s="20" t="str">
        <f aca="false">IF($X4&lt;$AL4,U4,AI4)</f>
        <v>pro </v>
      </c>
      <c r="AT4" s="17" t="str">
        <f aca="false">IF($X4&lt;$AL4,V4,AJ4)</f>
        <v> [402]3/2 </v>
      </c>
      <c r="AU4" s="18" t="n">
        <f aca="false">IF($X4&lt;$AL4,W4,AK4)</f>
        <v>-1E-005</v>
      </c>
      <c r="AV4" s="17" t="n">
        <f aca="false">IF($X4&lt;$AL4,X4,AL4)</f>
        <v>-1148.955249</v>
      </c>
      <c r="AW4" s="17" t="n">
        <f aca="false">IF($X4&lt;$AL4,Y4,AM4)</f>
        <v>1.5</v>
      </c>
      <c r="AX4" s="17"/>
      <c r="AY4" s="19" t="n">
        <f aca="false">IF($AX4=1,"",IF($X4&lt;$AL4,Z4,AN4))</f>
        <v>0.97553</v>
      </c>
      <c r="AZ4" s="17" t="n">
        <f aca="false">IF($AX4=1,"",IF($X4&lt;$AL4,AA4,AO4)/100)</f>
        <v>0.1215329</v>
      </c>
      <c r="BA4" s="17" t="str">
        <f aca="false">IF($AX4=1,"",IF($X4&lt;$AL4,AB4,AP4))</f>
        <v> 3/2  </v>
      </c>
      <c r="BB4" s="19" t="n">
        <f aca="false">IF($AX4=1,"",IF($X4&lt;$AL4,AC4,AQ4))</f>
        <v>-4.16043</v>
      </c>
      <c r="BC4" s="19" t="n">
        <f aca="false">IF($AX4=1,"",IF($X4&lt;$AL4,AD4,AR4))</f>
        <v>0.0557434868809014</v>
      </c>
      <c r="BD4" s="3" t="n">
        <f aca="false">IF(OR(AZ4="",N4=""),"",AZ4-N4)</f>
        <v>-0.1144671</v>
      </c>
      <c r="BE4" s="3" t="n">
        <f aca="false">IF(OR(BC4="",J4=""),"",BC4-J4)</f>
        <v>0.00517348688090142</v>
      </c>
    </row>
    <row r="5" customFormat="false" ht="14.25" hidden="false" customHeight="false" outlineLevel="0" collapsed="false">
      <c r="A5" s="1" t="s">
        <v>52</v>
      </c>
      <c r="B5" s="1" t="s">
        <v>53</v>
      </c>
      <c r="C5" s="1" t="s">
        <v>54</v>
      </c>
      <c r="D5" s="2" t="n">
        <v>126</v>
      </c>
      <c r="E5" s="2" t="n">
        <v>83</v>
      </c>
      <c r="F5" s="2" t="n">
        <f aca="false">D5+E5</f>
        <v>209</v>
      </c>
      <c r="G5" s="2" t="str">
        <f aca="false">IF(D5-EVEN(D5)=0,"Z-odd","N-odd")</f>
        <v>Z-odd</v>
      </c>
      <c r="H5" s="1" t="n">
        <v>4.5</v>
      </c>
      <c r="I5" s="15" t="s">
        <v>55</v>
      </c>
      <c r="J5" s="1" t="n">
        <v>0.51</v>
      </c>
      <c r="K5" s="1" t="n">
        <v>0.05</v>
      </c>
      <c r="L5" s="15" t="n">
        <f aca="false">J5/(0.6*1.44*($F5^(2/3)))</f>
        <v>0.0167607034799972</v>
      </c>
      <c r="M5" s="15" t="n">
        <f aca="false">K5/(0.6*1.44*($F5^(2/3)))</f>
        <v>0.00164320622352914</v>
      </c>
      <c r="N5" s="3" t="n">
        <v>-0.516</v>
      </c>
      <c r="O5" s="3" t="n">
        <v>0.015</v>
      </c>
      <c r="P5" s="4" t="n">
        <v>1</v>
      </c>
      <c r="Q5" s="16" t="s">
        <v>56</v>
      </c>
      <c r="R5" s="17" t="n">
        <v>0</v>
      </c>
      <c r="S5" s="17" t="n">
        <v>39</v>
      </c>
      <c r="T5" s="17" t="n">
        <v>1</v>
      </c>
      <c r="U5" s="17" t="s">
        <v>40</v>
      </c>
      <c r="V5" s="17" t="s">
        <v>56</v>
      </c>
      <c r="W5" s="18" t="n">
        <v>9.32E-006</v>
      </c>
      <c r="X5" s="18" t="n">
        <v>-1642.01847</v>
      </c>
      <c r="Y5" s="18" t="n">
        <v>4.5</v>
      </c>
      <c r="Z5" s="19" t="n">
        <v>3.20665</v>
      </c>
      <c r="AA5" s="19" t="n">
        <v>-37.23146</v>
      </c>
      <c r="AB5" s="22" t="s">
        <v>57</v>
      </c>
      <c r="AC5" s="19" t="n">
        <v>-20.57518</v>
      </c>
      <c r="AD5" s="19" t="n">
        <f aca="false">-AC5*SQRT(4*$AD$1/7)/100</f>
        <v>0.275676378740223</v>
      </c>
      <c r="AE5" s="20" t="s">
        <v>56</v>
      </c>
      <c r="AF5" s="17" t="n">
        <v>0</v>
      </c>
      <c r="AG5" s="17" t="n">
        <v>39</v>
      </c>
      <c r="AH5" s="17" t="n">
        <v>1</v>
      </c>
      <c r="AI5" s="17" t="s">
        <v>42</v>
      </c>
      <c r="AJ5" s="17" t="s">
        <v>58</v>
      </c>
      <c r="AK5" s="18" t="n">
        <v>9.31E-006</v>
      </c>
      <c r="AL5" s="18" t="n">
        <v>-1642.01847</v>
      </c>
      <c r="AM5" s="18" t="n">
        <v>4.5</v>
      </c>
      <c r="AN5" s="19" t="n">
        <v>3.20665</v>
      </c>
      <c r="AO5" s="19" t="n">
        <v>-37.23144</v>
      </c>
      <c r="AP5" s="22" t="s">
        <v>59</v>
      </c>
      <c r="AQ5" s="19" t="n">
        <v>-20.57518</v>
      </c>
      <c r="AR5" s="19" t="n">
        <f aca="false">-AQ5*SQRT(4*$AD$1/7)/100</f>
        <v>0.275676378740223</v>
      </c>
      <c r="AS5" s="20" t="str">
        <f aca="false">IF($X5&lt;$AL5,U5,AI5)</f>
        <v>pro </v>
      </c>
      <c r="AT5" s="17" t="str">
        <f aca="false">IF($X5&lt;$AL5,V5,AJ5)</f>
        <v> [505]9/2 </v>
      </c>
      <c r="AU5" s="18" t="n">
        <f aca="false">IF($X5&lt;$AL5,W5,AK5)</f>
        <v>9.31E-006</v>
      </c>
      <c r="AV5" s="17" t="n">
        <f aca="false">IF($X5&lt;$AL5,X5,AL5)</f>
        <v>-1642.01847</v>
      </c>
      <c r="AW5" s="17" t="n">
        <f aca="false">IF($X5&lt;$AL5,Y5,AM5)</f>
        <v>4.5</v>
      </c>
      <c r="AX5" s="17"/>
      <c r="AY5" s="19" t="n">
        <f aca="false">IF($AX5=1,"",IF($X5&lt;$AL5,Z5,AN5))</f>
        <v>3.20665</v>
      </c>
      <c r="AZ5" s="17" t="n">
        <f aca="false">IF($AX5=1,"",IF($X5&lt;$AL5,AA5,AO5)/100)</f>
        <v>-0.3723144</v>
      </c>
      <c r="BA5" s="17" t="str">
        <f aca="false">IF($AX5=1,"",IF($X5&lt;$AL5,AB5,AP5))</f>
        <v> 9/2  </v>
      </c>
      <c r="BB5" s="19" t="n">
        <f aca="false">IF($AX5=1,"",IF($X5&lt;$AL5,AC5,AQ5))</f>
        <v>-20.57518</v>
      </c>
      <c r="BC5" s="19" t="n">
        <f aca="false">IF($AX5=1,"",IF($X5&lt;$AL5,AD5,AR5))</f>
        <v>0.275676378740223</v>
      </c>
      <c r="BD5" s="3" t="n">
        <f aca="false">IF(OR(AZ5="",N5=""),"",AZ5-N5)</f>
        <v>0.1436856</v>
      </c>
      <c r="BE5" s="3" t="n">
        <f aca="false">IF(OR(BC5="",J5=""),"",BC5-J5)</f>
        <v>-0.234323621259777</v>
      </c>
    </row>
    <row r="6" customFormat="false" ht="14.25" hidden="false" customHeight="false" outlineLevel="0" collapsed="false">
      <c r="A6" s="1" t="s">
        <v>60</v>
      </c>
      <c r="B6" s="1" t="s">
        <v>61</v>
      </c>
      <c r="C6" s="1" t="s">
        <v>62</v>
      </c>
      <c r="D6" s="2" t="n">
        <v>44</v>
      </c>
      <c r="E6" s="2" t="n">
        <v>35</v>
      </c>
      <c r="F6" s="2" t="n">
        <f aca="false">D6+E6</f>
        <v>79</v>
      </c>
      <c r="G6" s="2" t="str">
        <f aca="false">IF(D6-EVEN(D6)=0,"Z-odd","N-odd")</f>
        <v>Z-odd</v>
      </c>
      <c r="H6" s="1" t="n">
        <v>1.5</v>
      </c>
      <c r="I6" s="15" t="s">
        <v>55</v>
      </c>
      <c r="J6" s="1" t="n">
        <v>0.116</v>
      </c>
      <c r="K6" s="1" t="n">
        <v>0</v>
      </c>
      <c r="L6" s="15" t="n">
        <f aca="false">J6/(0.6*1.44*($F6^(2/3)))</f>
        <v>0.00729221591559775</v>
      </c>
      <c r="M6" s="15" t="n">
        <f aca="false">K6/(0.6*1.44*($F6^(2/3)))</f>
        <v>0</v>
      </c>
      <c r="N6" s="3" t="n">
        <v>0.3087</v>
      </c>
      <c r="O6" s="3" t="n">
        <v>0.0002</v>
      </c>
      <c r="P6" s="4" t="n">
        <v>1</v>
      </c>
      <c r="Q6" s="16" t="s">
        <v>63</v>
      </c>
      <c r="R6" s="17" t="n">
        <v>1</v>
      </c>
      <c r="S6" s="17" t="n">
        <v>23</v>
      </c>
      <c r="T6" s="17" t="n">
        <v>1</v>
      </c>
      <c r="U6" s="17" t="s">
        <v>40</v>
      </c>
      <c r="V6" s="17" t="s">
        <v>63</v>
      </c>
      <c r="W6" s="18" t="n">
        <v>8.63E-006</v>
      </c>
      <c r="X6" s="18" t="n">
        <v>-686.04951</v>
      </c>
      <c r="Y6" s="18" t="n">
        <v>1.5</v>
      </c>
      <c r="Z6" s="19" t="n">
        <v>1.52136</v>
      </c>
      <c r="AA6" s="19" t="n">
        <v>-12.41827</v>
      </c>
      <c r="AB6" s="22" t="s">
        <v>49</v>
      </c>
      <c r="AC6" s="19" t="n">
        <v>-6.26995</v>
      </c>
      <c r="AD6" s="19" t="n">
        <f aca="false">-AC6*SQRT(4*$AD$1/7)/100</f>
        <v>0.0840078731210254</v>
      </c>
      <c r="AE6" s="20" t="s">
        <v>64</v>
      </c>
      <c r="AF6" s="17" t="n">
        <v>0</v>
      </c>
      <c r="AG6" s="17" t="n">
        <v>21</v>
      </c>
      <c r="AH6" s="17" t="n">
        <v>1</v>
      </c>
      <c r="AI6" s="17" t="s">
        <v>42</v>
      </c>
      <c r="AJ6" s="17" t="s">
        <v>65</v>
      </c>
      <c r="AK6" s="18" t="n">
        <v>1.1E-005</v>
      </c>
      <c r="AL6" s="18" t="n">
        <v>-686.335128</v>
      </c>
      <c r="AM6" s="18" t="n">
        <v>1.5</v>
      </c>
      <c r="AN6" s="19" t="n">
        <v>1.86865</v>
      </c>
      <c r="AO6" s="19" t="n">
        <v>20.25745</v>
      </c>
      <c r="AP6" s="22" t="s">
        <v>51</v>
      </c>
      <c r="AQ6" s="19" t="n">
        <v>-13.41108</v>
      </c>
      <c r="AR6" s="19" t="n">
        <f aca="false">-AQ6*SQRT(4*$AD$1/7)/100</f>
        <v>0.179688244253291</v>
      </c>
      <c r="AS6" s="20" t="str">
        <f aca="false">IF($X6&lt;$AL6,U6,AI6)</f>
        <v>pro </v>
      </c>
      <c r="AT6" s="17" t="str">
        <f aca="false">IF($X6&lt;$AL6,V6,AJ6)</f>
        <v> [301]3/2 </v>
      </c>
      <c r="AU6" s="18" t="n">
        <f aca="false">IF($X6&lt;$AL6,W6,AK6)</f>
        <v>1.1E-005</v>
      </c>
      <c r="AV6" s="17" t="n">
        <f aca="false">IF($X6&lt;$AL6,X6,AL6)</f>
        <v>-686.335128</v>
      </c>
      <c r="AW6" s="17" t="n">
        <f aca="false">IF($X6&lt;$AL6,Y6,AM6)</f>
        <v>1.5</v>
      </c>
      <c r="AX6" s="17"/>
      <c r="AY6" s="19" t="n">
        <f aca="false">IF($AX6=1,"",IF($X6&lt;$AL6,Z6,AN6))</f>
        <v>1.86865</v>
      </c>
      <c r="AZ6" s="17" t="n">
        <f aca="false">IF($AX6=1,"",IF($X6&lt;$AL6,AA6,AO6)/100)</f>
        <v>0.2025745</v>
      </c>
      <c r="BA6" s="17" t="str">
        <f aca="false">IF($AX6=1,"",IF($X6&lt;$AL6,AB6,AP6))</f>
        <v> 3/2  </v>
      </c>
      <c r="BB6" s="19" t="n">
        <f aca="false">IF($AX6=1,"",IF($X6&lt;$AL6,AC6,AQ6))</f>
        <v>-13.41108</v>
      </c>
      <c r="BC6" s="19" t="n">
        <f aca="false">IF($AX6=1,"",IF($X6&lt;$AL6,AD6,AR6))</f>
        <v>0.179688244253291</v>
      </c>
      <c r="BD6" s="3" t="n">
        <f aca="false">IF(OR(AZ6="",N6=""),"",AZ6-N6)</f>
        <v>-0.1061255</v>
      </c>
      <c r="BE6" s="3" t="n">
        <f aca="false">IF(OR(BC6="",J6=""),"",BC6-J6)</f>
        <v>0.063688244253291</v>
      </c>
    </row>
    <row r="7" customFormat="false" ht="14.25" hidden="false" customHeight="false" outlineLevel="0" collapsed="false">
      <c r="A7" s="23" t="s">
        <v>60</v>
      </c>
      <c r="B7" s="23" t="s">
        <v>61</v>
      </c>
      <c r="C7" s="23" t="s">
        <v>66</v>
      </c>
      <c r="D7" s="24" t="n">
        <v>44</v>
      </c>
      <c r="E7" s="24" t="n">
        <v>35</v>
      </c>
      <c r="F7" s="24" t="n">
        <f aca="false">D7+E7</f>
        <v>79</v>
      </c>
      <c r="G7" s="24" t="str">
        <f aca="false">IF(D7-EVEN(D7)=0,"Z-odd","N-odd")</f>
        <v>Z-odd</v>
      </c>
      <c r="H7" s="23" t="n">
        <v>1.5</v>
      </c>
      <c r="I7" s="23" t="s">
        <v>55</v>
      </c>
      <c r="J7" s="23" t="n">
        <v>0.116</v>
      </c>
      <c r="K7" s="23" t="n">
        <v>0</v>
      </c>
      <c r="L7" s="15" t="n">
        <f aca="false">J7/(0.6*1.44*($F7^(2/3)))</f>
        <v>0.00729221591559775</v>
      </c>
      <c r="M7" s="15" t="n">
        <f aca="false">K7/(0.6*1.44*($F7^(2/3)))</f>
        <v>0</v>
      </c>
      <c r="N7" s="3" t="n">
        <v>0.3087</v>
      </c>
      <c r="O7" s="3" t="n">
        <v>0.0002</v>
      </c>
      <c r="P7" s="4" t="n">
        <v>1</v>
      </c>
      <c r="Q7" s="25" t="s">
        <v>64</v>
      </c>
      <c r="R7" s="26" t="n">
        <v>-3</v>
      </c>
      <c r="S7" s="26" t="n">
        <v>15</v>
      </c>
      <c r="T7" s="26" t="n">
        <v>1</v>
      </c>
      <c r="U7" s="17" t="s">
        <v>40</v>
      </c>
      <c r="V7" s="26" t="s">
        <v>64</v>
      </c>
      <c r="W7" s="27" t="n">
        <v>-0.000368</v>
      </c>
      <c r="X7" s="27" t="n">
        <v>-685.512915</v>
      </c>
      <c r="Y7" s="27" t="n">
        <v>1.5</v>
      </c>
      <c r="Z7" s="28" t="n">
        <v>3.43071</v>
      </c>
      <c r="AA7" s="28" t="n">
        <v>0.0392</v>
      </c>
      <c r="AB7" s="29" t="s">
        <v>49</v>
      </c>
      <c r="AC7" s="28" t="n">
        <v>-29.5461</v>
      </c>
      <c r="AD7" s="19" t="n">
        <f aca="false">-AC7*SQRT(4*$AD$1/7)/100</f>
        <v>0.395873176025507</v>
      </c>
      <c r="AE7" s="30" t="s">
        <v>63</v>
      </c>
      <c r="AF7" s="26" t="n">
        <v>1</v>
      </c>
      <c r="AG7" s="26" t="n">
        <v>19</v>
      </c>
      <c r="AH7" s="26" t="n">
        <v>1</v>
      </c>
      <c r="AI7" s="17" t="s">
        <v>42</v>
      </c>
      <c r="AJ7" s="26" t="s">
        <v>67</v>
      </c>
      <c r="AK7" s="27" t="n">
        <v>-6.88E-006</v>
      </c>
      <c r="AL7" s="27" t="n">
        <v>-685.977143</v>
      </c>
      <c r="AM7" s="27" t="n">
        <v>1.5</v>
      </c>
      <c r="AN7" s="28" t="n">
        <v>2.14512</v>
      </c>
      <c r="AO7" s="28" t="n">
        <v>18.61322</v>
      </c>
      <c r="AP7" s="29" t="s">
        <v>51</v>
      </c>
      <c r="AQ7" s="28" t="n">
        <v>-16.82222</v>
      </c>
      <c r="AR7" s="19" t="n">
        <f aca="false">-AQ7*SQRT(4*$AD$1/7)/100</f>
        <v>0.225392375277949</v>
      </c>
      <c r="AS7" s="20" t="str">
        <f aca="false">IF($X7&lt;$AL7,U7,AI7)</f>
        <v>pro </v>
      </c>
      <c r="AT7" s="17" t="str">
        <f aca="false">IF($X7&lt;$AL7,V7,AJ7)</f>
        <v> [312]3/2 </v>
      </c>
      <c r="AU7" s="18" t="n">
        <f aca="false">IF($X7&lt;$AL7,W7,AK7)</f>
        <v>-6.88E-006</v>
      </c>
      <c r="AV7" s="17" t="n">
        <f aca="false">IF($X7&lt;$AL7,X7,AL7)</f>
        <v>-685.977143</v>
      </c>
      <c r="AW7" s="17" t="n">
        <f aca="false">IF($X7&lt;$AL7,Y7,AM7)</f>
        <v>1.5</v>
      </c>
      <c r="AX7" s="17"/>
      <c r="AY7" s="19" t="n">
        <f aca="false">IF($AX7=1,"",IF($X7&lt;$AL7,Z7,AN7))</f>
        <v>2.14512</v>
      </c>
      <c r="AZ7" s="17" t="n">
        <f aca="false">IF($AX7=1,"",IF($X7&lt;$AL7,AA7,AO7)/100)</f>
        <v>0.1861322</v>
      </c>
      <c r="BA7" s="17" t="str">
        <f aca="false">IF($AX7=1,"",IF($X7&lt;$AL7,AB7,AP7))</f>
        <v> 3/2  </v>
      </c>
      <c r="BB7" s="19" t="n">
        <f aca="false">IF($AX7=1,"",IF($X7&lt;$AL7,AC7,AQ7))</f>
        <v>-16.82222</v>
      </c>
      <c r="BC7" s="19" t="n">
        <f aca="false">IF($AX7=1,"",IF($X7&lt;$AL7,AD7,AR7))</f>
        <v>0.225392375277949</v>
      </c>
      <c r="BD7" s="3" t="n">
        <f aca="false">IF(OR(AZ7="",N7=""),"",AZ7-N7)</f>
        <v>-0.1225678</v>
      </c>
      <c r="BE7" s="3" t="n">
        <f aca="false">IF(OR(BC7="",J7=""),"",BC7-J7)</f>
        <v>0.109392375277949</v>
      </c>
    </row>
    <row r="8" customFormat="false" ht="14.25" hidden="false" customHeight="false" outlineLevel="0" collapsed="false">
      <c r="A8" s="1" t="s">
        <v>68</v>
      </c>
      <c r="B8" s="1" t="s">
        <v>69</v>
      </c>
      <c r="C8" s="1" t="s">
        <v>70</v>
      </c>
      <c r="D8" s="2" t="n">
        <v>46</v>
      </c>
      <c r="E8" s="2" t="n">
        <v>35</v>
      </c>
      <c r="F8" s="2" t="n">
        <f aca="false">D8+E8</f>
        <v>81</v>
      </c>
      <c r="G8" s="2" t="str">
        <f aca="false">IF(D8-EVEN(D8)=0,"Z-odd","N-odd")</f>
        <v>Z-odd</v>
      </c>
      <c r="H8" s="1" t="n">
        <v>1.5</v>
      </c>
      <c r="I8" s="15" t="s">
        <v>55</v>
      </c>
      <c r="J8" s="1" t="n">
        <v>0.129</v>
      </c>
      <c r="K8" s="1" t="n">
        <v>0</v>
      </c>
      <c r="L8" s="15" t="n">
        <f aca="false">J8/(0.6*1.44*($F8^(2/3)))</f>
        <v>0.00797540271646329</v>
      </c>
      <c r="M8" s="15" t="n">
        <f aca="false">K8/(0.6*1.44*($F8^(2/3)))</f>
        <v>0</v>
      </c>
      <c r="N8" s="3" t="n">
        <v>0.2579</v>
      </c>
      <c r="O8" s="3" t="n">
        <v>0.0002</v>
      </c>
      <c r="P8" s="4" t="n">
        <v>1</v>
      </c>
      <c r="Q8" s="16" t="s">
        <v>63</v>
      </c>
      <c r="R8" s="17" t="n">
        <v>0</v>
      </c>
      <c r="S8" s="17" t="n">
        <v>23</v>
      </c>
      <c r="T8" s="17" t="n">
        <v>1</v>
      </c>
      <c r="U8" s="17" t="s">
        <v>40</v>
      </c>
      <c r="V8" s="17" t="s">
        <v>63</v>
      </c>
      <c r="W8" s="18" t="n">
        <v>1.1E-006</v>
      </c>
      <c r="X8" s="18" t="n">
        <v>-703.805677</v>
      </c>
      <c r="Y8" s="18" t="n">
        <v>1.5</v>
      </c>
      <c r="Z8" s="19" t="n">
        <v>1.58505</v>
      </c>
      <c r="AA8" s="19" t="n">
        <v>-14.25824</v>
      </c>
      <c r="AB8" s="22" t="s">
        <v>49</v>
      </c>
      <c r="AC8" s="19" t="n">
        <v>-6.58053</v>
      </c>
      <c r="AD8" s="19" t="n">
        <f aca="false">-AC8*SQRT(4*$AD$1/7)/100</f>
        <v>0.0881691766775017</v>
      </c>
      <c r="AE8" s="20" t="s">
        <v>64</v>
      </c>
      <c r="AF8" s="17" t="n">
        <v>0</v>
      </c>
      <c r="AG8" s="17" t="n">
        <v>21</v>
      </c>
      <c r="AH8" s="17" t="n">
        <v>1</v>
      </c>
      <c r="AI8" s="17" t="s">
        <v>42</v>
      </c>
      <c r="AJ8" s="17" t="s">
        <v>65</v>
      </c>
      <c r="AK8" s="18" t="n">
        <v>1.5E-005</v>
      </c>
      <c r="AL8" s="18" t="n">
        <v>-704.446429</v>
      </c>
      <c r="AM8" s="18" t="n">
        <v>1.5</v>
      </c>
      <c r="AN8" s="19" t="n">
        <v>1.91402</v>
      </c>
      <c r="AO8" s="19" t="n">
        <v>23.75312</v>
      </c>
      <c r="AP8" s="22" t="s">
        <v>51</v>
      </c>
      <c r="AQ8" s="19" t="n">
        <v>-13.89479</v>
      </c>
      <c r="AR8" s="19" t="n">
        <f aca="false">-AQ8*SQRT(4*$AD$1/7)/100</f>
        <v>0.18616922868018</v>
      </c>
      <c r="AS8" s="20" t="str">
        <f aca="false">IF($X8&lt;$AL8,U8,AI8)</f>
        <v>pro </v>
      </c>
      <c r="AT8" s="17" t="str">
        <f aca="false">IF($X8&lt;$AL8,V8,AJ8)</f>
        <v> [301]3/2 </v>
      </c>
      <c r="AU8" s="18" t="n">
        <f aca="false">IF($X8&lt;$AL8,W8,AK8)</f>
        <v>1.5E-005</v>
      </c>
      <c r="AV8" s="17" t="n">
        <f aca="false">IF($X8&lt;$AL8,X8,AL8)</f>
        <v>-704.446429</v>
      </c>
      <c r="AW8" s="17" t="n">
        <f aca="false">IF($X8&lt;$AL8,Y8,AM8)</f>
        <v>1.5</v>
      </c>
      <c r="AX8" s="17"/>
      <c r="AY8" s="19" t="n">
        <f aca="false">IF($AX8=1,"",IF($X8&lt;$AL8,Z8,AN8))</f>
        <v>1.91402</v>
      </c>
      <c r="AZ8" s="17" t="n">
        <f aca="false">IF($AX8=1,"",IF($X8&lt;$AL8,AA8,AO8)/100)</f>
        <v>0.2375312</v>
      </c>
      <c r="BA8" s="17" t="str">
        <f aca="false">IF($AX8=1,"",IF($X8&lt;$AL8,AB8,AP8))</f>
        <v> 3/2  </v>
      </c>
      <c r="BB8" s="19" t="n">
        <f aca="false">IF($AX8=1,"",IF($X8&lt;$AL8,AC8,AQ8))</f>
        <v>-13.89479</v>
      </c>
      <c r="BC8" s="19" t="n">
        <f aca="false">IF($AX8=1,"",IF($X8&lt;$AL8,AD8,AR8))</f>
        <v>0.18616922868018</v>
      </c>
      <c r="BD8" s="3" t="n">
        <f aca="false">IF(OR(AZ8="",N8=""),"",AZ8-N8)</f>
        <v>-0.0203688</v>
      </c>
      <c r="BE8" s="3" t="n">
        <f aca="false">IF(OR(BC8="",J8=""),"",BC8-J8)</f>
        <v>0.0571692286801797</v>
      </c>
    </row>
    <row r="9" customFormat="false" ht="14.25" hidden="false" customHeight="false" outlineLevel="0" collapsed="false">
      <c r="A9" s="23" t="s">
        <v>68</v>
      </c>
      <c r="B9" s="23" t="s">
        <v>69</v>
      </c>
      <c r="C9" s="23" t="s">
        <v>71</v>
      </c>
      <c r="D9" s="24" t="n">
        <v>46</v>
      </c>
      <c r="E9" s="24" t="n">
        <v>35</v>
      </c>
      <c r="F9" s="24" t="n">
        <f aca="false">D9+E9</f>
        <v>81</v>
      </c>
      <c r="G9" s="24" t="str">
        <f aca="false">IF(D9-EVEN(D9)=0,"Z-odd","N-odd")</f>
        <v>Z-odd</v>
      </c>
      <c r="H9" s="23" t="n">
        <v>1.5</v>
      </c>
      <c r="I9" s="23" t="s">
        <v>55</v>
      </c>
      <c r="J9" s="23" t="n">
        <v>0.129</v>
      </c>
      <c r="K9" s="23" t="n">
        <v>0</v>
      </c>
      <c r="L9" s="15" t="n">
        <f aca="false">J9/(0.6*1.44*($F9^(2/3)))</f>
        <v>0.00797540271646329</v>
      </c>
      <c r="M9" s="15" t="n">
        <f aca="false">K9/(0.6*1.44*($F9^(2/3)))</f>
        <v>0</v>
      </c>
      <c r="N9" s="3" t="n">
        <v>0.2579</v>
      </c>
      <c r="O9" s="3" t="n">
        <v>0.0002</v>
      </c>
      <c r="P9" s="4" t="n">
        <v>1</v>
      </c>
      <c r="Q9" s="25" t="s">
        <v>64</v>
      </c>
      <c r="R9" s="26" t="n">
        <v>-4</v>
      </c>
      <c r="S9" s="26" t="n">
        <v>15</v>
      </c>
      <c r="T9" s="26" t="n">
        <v>1</v>
      </c>
      <c r="U9" s="17" t="s">
        <v>40</v>
      </c>
      <c r="V9" s="26" t="s">
        <v>64</v>
      </c>
      <c r="W9" s="27" t="n">
        <v>6.7E-005</v>
      </c>
      <c r="X9" s="27" t="n">
        <v>-703.293075</v>
      </c>
      <c r="Y9" s="27" t="n">
        <v>1.5</v>
      </c>
      <c r="Z9" s="28" t="n">
        <v>3.3435</v>
      </c>
      <c r="AA9" s="28" t="n">
        <v>-4.67062</v>
      </c>
      <c r="AB9" s="29" t="s">
        <v>49</v>
      </c>
      <c r="AC9" s="28" t="n">
        <v>-27.79535</v>
      </c>
      <c r="AD9" s="19" t="n">
        <f aca="false">-AC9*SQRT(4*$AD$1/7)/100</f>
        <v>0.372415766657548</v>
      </c>
      <c r="AE9" s="30" t="s">
        <v>63</v>
      </c>
      <c r="AF9" s="26" t="n">
        <v>1</v>
      </c>
      <c r="AG9" s="26" t="n">
        <v>19</v>
      </c>
      <c r="AH9" s="26" t="n">
        <v>1</v>
      </c>
      <c r="AI9" s="17" t="s">
        <v>42</v>
      </c>
      <c r="AJ9" s="26" t="s">
        <v>67</v>
      </c>
      <c r="AK9" s="27" t="n">
        <v>0.000317</v>
      </c>
      <c r="AL9" s="27" t="n">
        <v>-703.924246</v>
      </c>
      <c r="AM9" s="27" t="n">
        <v>1.5</v>
      </c>
      <c r="AN9" s="28" t="n">
        <v>0.98811</v>
      </c>
      <c r="AO9" s="28" t="n">
        <v>20.06512</v>
      </c>
      <c r="AP9" s="29" t="s">
        <v>51</v>
      </c>
      <c r="AQ9" s="28" t="n">
        <v>-4.61289</v>
      </c>
      <c r="AR9" s="19" t="n">
        <f aca="false">-AQ9*SQRT(4*$AD$1/7)/100</f>
        <v>0.0618057684417335</v>
      </c>
      <c r="AS9" s="20" t="str">
        <f aca="false">IF($X9&lt;$AL9,U9,AI9)</f>
        <v>pro </v>
      </c>
      <c r="AT9" s="17" t="str">
        <f aca="false">IF($X9&lt;$AL9,V9,AJ9)</f>
        <v> [312]3/2 </v>
      </c>
      <c r="AU9" s="18" t="n">
        <f aca="false">IF($X9&lt;$AL9,W9,AK9)</f>
        <v>0.000317</v>
      </c>
      <c r="AV9" s="17" t="n">
        <f aca="false">IF($X9&lt;$AL9,X9,AL9)</f>
        <v>-703.924246</v>
      </c>
      <c r="AW9" s="17" t="n">
        <f aca="false">IF($X9&lt;$AL9,Y9,AM9)</f>
        <v>1.5</v>
      </c>
      <c r="AX9" s="17"/>
      <c r="AY9" s="19" t="n">
        <f aca="false">IF($AX9=1,"",IF($X9&lt;$AL9,Z9,AN9))</f>
        <v>0.98811</v>
      </c>
      <c r="AZ9" s="17" t="n">
        <f aca="false">IF($AX9=1,"",IF($X9&lt;$AL9,AA9,AO9)/100)</f>
        <v>0.2006512</v>
      </c>
      <c r="BA9" s="17" t="str">
        <f aca="false">IF($AX9=1,"",IF($X9&lt;$AL9,AB9,AP9))</f>
        <v> 3/2  </v>
      </c>
      <c r="BB9" s="19" t="n">
        <f aca="false">IF($AX9=1,"",IF($X9&lt;$AL9,AC9,AQ9))</f>
        <v>-4.61289</v>
      </c>
      <c r="BC9" s="19" t="n">
        <f aca="false">IF($AX9=1,"",IF($X9&lt;$AL9,AD9,AR9))</f>
        <v>0.0618057684417335</v>
      </c>
      <c r="BD9" s="3" t="n">
        <f aca="false">IF(OR(AZ9="",N9=""),"",AZ9-N9)</f>
        <v>-0.0572488</v>
      </c>
      <c r="BE9" s="3" t="n">
        <f aca="false">IF(OR(BC9="",J9=""),"",BC9-J9)</f>
        <v>-0.0671942315582665</v>
      </c>
    </row>
    <row r="10" customFormat="false" ht="14.25" hidden="false" customHeight="false" outlineLevel="0" collapsed="false">
      <c r="A10" s="1" t="s">
        <v>72</v>
      </c>
      <c r="B10" s="1" t="s">
        <v>73</v>
      </c>
      <c r="C10" s="1" t="s">
        <v>74</v>
      </c>
      <c r="D10" s="2" t="n">
        <v>18</v>
      </c>
      <c r="E10" s="2" t="n">
        <v>17</v>
      </c>
      <c r="F10" s="2" t="n">
        <f aca="false">D10+E10</f>
        <v>35</v>
      </c>
      <c r="G10" s="2" t="str">
        <f aca="false">IF(D10-EVEN(D10)=0,"Z-odd","N-odd")</f>
        <v>Z-odd</v>
      </c>
      <c r="H10" s="1" t="n">
        <v>1.5</v>
      </c>
      <c r="I10" s="15" t="s">
        <v>38</v>
      </c>
      <c r="J10" s="1" t="n">
        <v>-0.0188</v>
      </c>
      <c r="K10" s="1" t="n">
        <v>0</v>
      </c>
      <c r="L10" s="15" t="n">
        <f aca="false">J10/(0.6*1.44*($F10^(2/3)))</f>
        <v>-0.00203359942564635</v>
      </c>
      <c r="M10" s="15" t="n">
        <f aca="false">K10/(0.6*1.44*($F10^(2/3)))</f>
        <v>0</v>
      </c>
      <c r="N10" s="3" t="n">
        <v>0.199</v>
      </c>
      <c r="O10" s="3" t="n">
        <v>0.002</v>
      </c>
      <c r="P10" s="4" t="n">
        <v>1</v>
      </c>
      <c r="Q10" s="16" t="s">
        <v>75</v>
      </c>
      <c r="R10" s="17" t="n">
        <v>0</v>
      </c>
      <c r="S10" s="17" t="n">
        <v>11</v>
      </c>
      <c r="T10" s="17" t="n">
        <v>0</v>
      </c>
      <c r="U10" s="17" t="s">
        <v>40</v>
      </c>
      <c r="V10" s="17" t="s">
        <v>75</v>
      </c>
      <c r="W10" s="18" t="n">
        <v>9.03E-006</v>
      </c>
      <c r="X10" s="18" t="n">
        <v>-294.196708</v>
      </c>
      <c r="Y10" s="18" t="n">
        <v>1.5</v>
      </c>
      <c r="Z10" s="19" t="n">
        <v>0.60714</v>
      </c>
      <c r="AA10" s="19" t="n">
        <v>-7.7671</v>
      </c>
      <c r="AB10" s="22" t="s">
        <v>49</v>
      </c>
      <c r="AC10" s="19" t="n">
        <v>1.60188</v>
      </c>
      <c r="AD10" s="19" t="n">
        <f aca="false">-AC10*SQRT(4*$AD$1/7)/100</f>
        <v>-0.0214627759065237</v>
      </c>
      <c r="AE10" s="20" t="s">
        <v>75</v>
      </c>
      <c r="AF10" s="17" t="n">
        <v>1</v>
      </c>
      <c r="AG10" s="17" t="n">
        <v>13</v>
      </c>
      <c r="AH10" s="17" t="n">
        <v>0</v>
      </c>
      <c r="AI10" s="17" t="s">
        <v>42</v>
      </c>
      <c r="AJ10" s="17" t="s">
        <v>76</v>
      </c>
      <c r="AK10" s="18" t="n">
        <v>9.02E-006</v>
      </c>
      <c r="AL10" s="18" t="n">
        <v>-294.196708</v>
      </c>
      <c r="AM10" s="18" t="n">
        <v>1.5</v>
      </c>
      <c r="AN10" s="19" t="n">
        <v>0.60714</v>
      </c>
      <c r="AO10" s="19" t="n">
        <v>-7.7671</v>
      </c>
      <c r="AP10" s="22" t="s">
        <v>51</v>
      </c>
      <c r="AQ10" s="19" t="n">
        <v>1.60188</v>
      </c>
      <c r="AR10" s="19" t="n">
        <f aca="false">-AQ10*SQRT(4*$AD$1/7)/100</f>
        <v>-0.0214627759065237</v>
      </c>
      <c r="AS10" s="20" t="str">
        <f aca="false">IF($X10&lt;$AL10,U10,AI10)</f>
        <v>pro </v>
      </c>
      <c r="AT10" s="17" t="str">
        <f aca="false">IF($X10&lt;$AL10,V10,AJ10)</f>
        <v> [202]3/2 </v>
      </c>
      <c r="AU10" s="18" t="n">
        <f aca="false">IF($X10&lt;$AL10,W10,AK10)</f>
        <v>9.02E-006</v>
      </c>
      <c r="AV10" s="17" t="n">
        <f aca="false">IF($X10&lt;$AL10,X10,AL10)</f>
        <v>-294.196708</v>
      </c>
      <c r="AW10" s="17" t="n">
        <f aca="false">IF($X10&lt;$AL10,Y10,AM10)</f>
        <v>1.5</v>
      </c>
      <c r="AX10" s="17"/>
      <c r="AY10" s="19" t="n">
        <f aca="false">IF($AX10=1,"",IF($X10&lt;$AL10,Z10,AN10))</f>
        <v>0.60714</v>
      </c>
      <c r="AZ10" s="17" t="n">
        <f aca="false">IF($AX10=1,"",IF($X10&lt;$AL10,AA10,AO10)/100)</f>
        <v>-0.077671</v>
      </c>
      <c r="BA10" s="17" t="str">
        <f aca="false">IF($AX10=1,"",IF($X10&lt;$AL10,AB10,AP10))</f>
        <v> 3/2  </v>
      </c>
      <c r="BB10" s="19" t="n">
        <f aca="false">IF($AX10=1,"",IF($X10&lt;$AL10,AC10,AQ10))</f>
        <v>1.60188</v>
      </c>
      <c r="BC10" s="19" t="n">
        <f aca="false">IF($AX10=1,"",IF($X10&lt;$AL10,AD10,AR10))</f>
        <v>-0.0214627759065237</v>
      </c>
      <c r="BD10" s="3" t="n">
        <f aca="false">IF(OR(AZ10="",N10=""),"",AZ10-N10)</f>
        <v>-0.276671</v>
      </c>
      <c r="BE10" s="3" t="n">
        <f aca="false">IF(OR(BC10="",J10=""),"",BC10-J10)</f>
        <v>-0.00266277590652369</v>
      </c>
    </row>
    <row r="11" customFormat="false" ht="14.25" hidden="false" customHeight="false" outlineLevel="0" collapsed="false">
      <c r="A11" s="1" t="s">
        <v>77</v>
      </c>
      <c r="B11" s="1" t="s">
        <v>78</v>
      </c>
      <c r="C11" s="1" t="s">
        <v>79</v>
      </c>
      <c r="D11" s="2" t="n">
        <v>20</v>
      </c>
      <c r="E11" s="2" t="n">
        <v>17</v>
      </c>
      <c r="F11" s="2" t="n">
        <f aca="false">D11+E11</f>
        <v>37</v>
      </c>
      <c r="G11" s="2" t="str">
        <f aca="false">IF(D11-EVEN(D11)=0,"Z-odd","N-odd")</f>
        <v>Z-odd</v>
      </c>
      <c r="H11" s="1" t="n">
        <v>1.5</v>
      </c>
      <c r="I11" s="15" t="s">
        <v>38</v>
      </c>
      <c r="J11" s="1" t="n">
        <v>-0.0146</v>
      </c>
      <c r="K11" s="1" t="n">
        <v>0</v>
      </c>
      <c r="L11" s="15" t="n">
        <f aca="false">J11/(0.6*1.44*($F11^(2/3)))</f>
        <v>-0.00152184806788135</v>
      </c>
      <c r="M11" s="15" t="n">
        <f aca="false">K11/(0.6*1.44*($F11^(2/3)))</f>
        <v>0</v>
      </c>
      <c r="N11" s="3" t="n">
        <v>-0.0817</v>
      </c>
      <c r="O11" s="3" t="n">
        <v>0.0008</v>
      </c>
      <c r="P11" s="4" t="n">
        <v>1</v>
      </c>
      <c r="Q11" s="16" t="s">
        <v>75</v>
      </c>
      <c r="R11" s="17" t="n">
        <v>0</v>
      </c>
      <c r="S11" s="17" t="n">
        <v>11</v>
      </c>
      <c r="T11" s="17" t="n">
        <v>0</v>
      </c>
      <c r="U11" s="17" t="s">
        <v>40</v>
      </c>
      <c r="V11" s="17" t="s">
        <v>75</v>
      </c>
      <c r="W11" s="18" t="n">
        <v>-1.5E-005</v>
      </c>
      <c r="X11" s="18" t="n">
        <v>-314.842395</v>
      </c>
      <c r="Y11" s="18" t="n">
        <v>1.5</v>
      </c>
      <c r="Z11" s="19" t="n">
        <v>0.31956</v>
      </c>
      <c r="AA11" s="19" t="n">
        <v>-4.38635</v>
      </c>
      <c r="AB11" s="22" t="s">
        <v>49</v>
      </c>
      <c r="AC11" s="19" t="n">
        <v>1.21991</v>
      </c>
      <c r="AD11" s="19" t="n">
        <f aca="false">-AC11*SQRT(4*$AD$1/7)/100</f>
        <v>-0.0163449540265983</v>
      </c>
      <c r="AE11" s="20" t="s">
        <v>75</v>
      </c>
      <c r="AF11" s="17" t="n">
        <v>0</v>
      </c>
      <c r="AG11" s="17" t="n">
        <v>11</v>
      </c>
      <c r="AH11" s="17" t="n">
        <v>0</v>
      </c>
      <c r="AI11" s="17" t="s">
        <v>42</v>
      </c>
      <c r="AJ11" s="17" t="s">
        <v>76</v>
      </c>
      <c r="AK11" s="18" t="n">
        <v>-1.5E-005</v>
      </c>
      <c r="AL11" s="18" t="n">
        <v>-314.842395</v>
      </c>
      <c r="AM11" s="18" t="n">
        <v>1.5</v>
      </c>
      <c r="AN11" s="19" t="n">
        <v>0.31956</v>
      </c>
      <c r="AO11" s="19" t="n">
        <v>-4.38635</v>
      </c>
      <c r="AP11" s="22" t="s">
        <v>51</v>
      </c>
      <c r="AQ11" s="19" t="n">
        <v>1.21991</v>
      </c>
      <c r="AR11" s="19" t="n">
        <f aca="false">-AQ11*SQRT(4*$AD$1/7)/100</f>
        <v>-0.0163449540265983</v>
      </c>
      <c r="AS11" s="20" t="str">
        <f aca="false">IF($X11&lt;$AL11,U11,AI11)</f>
        <v>pro </v>
      </c>
      <c r="AT11" s="17" t="str">
        <f aca="false">IF($X11&lt;$AL11,V11,AJ11)</f>
        <v> [202]3/2 </v>
      </c>
      <c r="AU11" s="18" t="n">
        <f aca="false">IF($X11&lt;$AL11,W11,AK11)</f>
        <v>-1.5E-005</v>
      </c>
      <c r="AV11" s="17" t="n">
        <f aca="false">IF($X11&lt;$AL11,X11,AL11)</f>
        <v>-314.842395</v>
      </c>
      <c r="AW11" s="17" t="n">
        <f aca="false">IF($X11&lt;$AL11,Y11,AM11)</f>
        <v>1.5</v>
      </c>
      <c r="AX11" s="17"/>
      <c r="AY11" s="19" t="n">
        <f aca="false">IF($AX11=1,"",IF($X11&lt;$AL11,Z11,AN11))</f>
        <v>0.31956</v>
      </c>
      <c r="AZ11" s="17" t="n">
        <f aca="false">IF($AX11=1,"",IF($X11&lt;$AL11,AA11,AO11)/100)</f>
        <v>-0.0438635</v>
      </c>
      <c r="BA11" s="17" t="str">
        <f aca="false">IF($AX11=1,"",IF($X11&lt;$AL11,AB11,AP11))</f>
        <v> 3/2  </v>
      </c>
      <c r="BB11" s="19" t="n">
        <f aca="false">IF($AX11=1,"",IF($X11&lt;$AL11,AC11,AQ11))</f>
        <v>1.21991</v>
      </c>
      <c r="BC11" s="19" t="n">
        <f aca="false">IF($AX11=1,"",IF($X11&lt;$AL11,AD11,AR11))</f>
        <v>-0.0163449540265983</v>
      </c>
      <c r="BD11" s="3" t="n">
        <f aca="false">IF(OR(AZ11="",N11=""),"",AZ11-N11)</f>
        <v>0.0378365</v>
      </c>
      <c r="BE11" s="3" t="n">
        <f aca="false">IF(OR(BC11="",J11=""),"",BC11-J11)</f>
        <v>-0.00174495402659832</v>
      </c>
    </row>
    <row r="12" customFormat="false" ht="14.25" hidden="false" customHeight="false" outlineLevel="0" collapsed="false">
      <c r="A12" s="1" t="s">
        <v>80</v>
      </c>
      <c r="B12" s="1" t="s">
        <v>81</v>
      </c>
      <c r="C12" s="1" t="s">
        <v>82</v>
      </c>
      <c r="D12" s="2" t="n">
        <v>78</v>
      </c>
      <c r="E12" s="2" t="n">
        <v>55</v>
      </c>
      <c r="F12" s="2" t="n">
        <f aca="false">D12+E12</f>
        <v>133</v>
      </c>
      <c r="G12" s="2" t="str">
        <f aca="false">IF(D12-EVEN(D12)=0,"Z-odd","N-odd")</f>
        <v>Z-odd</v>
      </c>
      <c r="H12" s="1" t="n">
        <v>3.5</v>
      </c>
      <c r="I12" s="15" t="s">
        <v>38</v>
      </c>
      <c r="J12" s="1" t="n">
        <v>0.8</v>
      </c>
      <c r="K12" s="1" t="n">
        <v>0.1</v>
      </c>
      <c r="L12" s="15" t="n">
        <f aca="false">J12/(0.6*1.44*($F12^(2/3)))</f>
        <v>0.0355365408103694</v>
      </c>
      <c r="M12" s="15" t="n">
        <f aca="false">K12/(0.6*1.44*($F12^(2/3)))</f>
        <v>0.00444206760129618</v>
      </c>
      <c r="N12" s="6" t="n">
        <v>-0.00343</v>
      </c>
      <c r="O12" s="6" t="n">
        <v>1E-005</v>
      </c>
      <c r="P12" s="4" t="n">
        <v>1</v>
      </c>
      <c r="Q12" s="16" t="s">
        <v>83</v>
      </c>
      <c r="R12" s="17" t="n">
        <v>-1</v>
      </c>
      <c r="S12" s="17" t="n">
        <v>25</v>
      </c>
      <c r="T12" s="17" t="n">
        <v>0</v>
      </c>
      <c r="U12" s="17" t="s">
        <v>40</v>
      </c>
      <c r="V12" s="17" t="s">
        <v>83</v>
      </c>
      <c r="W12" s="18" t="n">
        <v>-7.7E-005</v>
      </c>
      <c r="X12" s="18" t="n">
        <v>-1117.790067</v>
      </c>
      <c r="Y12" s="18" t="n">
        <v>3.5</v>
      </c>
      <c r="Z12" s="19" t="n">
        <v>2.14216</v>
      </c>
      <c r="AA12" s="19" t="n">
        <v>-35.38966</v>
      </c>
      <c r="AB12" s="22" t="s">
        <v>84</v>
      </c>
      <c r="AC12" s="19" t="n">
        <v>-4.78924</v>
      </c>
      <c r="AD12" s="19" t="n">
        <f aca="false">-AC12*SQRT(4*$AD$1/7)/100</f>
        <v>0.0641685924554645</v>
      </c>
      <c r="AE12" s="20" t="s">
        <v>83</v>
      </c>
      <c r="AF12" s="17" t="n">
        <v>3</v>
      </c>
      <c r="AG12" s="17" t="n">
        <v>37</v>
      </c>
      <c r="AH12" s="17" t="n">
        <v>0</v>
      </c>
      <c r="AI12" s="17" t="s">
        <v>42</v>
      </c>
      <c r="AJ12" s="17" t="s">
        <v>85</v>
      </c>
      <c r="AK12" s="18" t="n">
        <v>-0.00062</v>
      </c>
      <c r="AL12" s="18" t="n">
        <v>-1117.754153</v>
      </c>
      <c r="AM12" s="18" t="n">
        <v>3.5</v>
      </c>
      <c r="AN12" s="19" t="n">
        <v>2.11016</v>
      </c>
      <c r="AO12" s="19" t="n">
        <v>-14.90481</v>
      </c>
      <c r="AP12" s="22" t="s">
        <v>86</v>
      </c>
      <c r="AQ12" s="19" t="n">
        <v>-4.72869</v>
      </c>
      <c r="AR12" s="19" t="n">
        <f aca="false">-AQ12*SQRT(4*$AD$1/7)/100</f>
        <v>0.0633573137821931</v>
      </c>
      <c r="AS12" s="20" t="str">
        <f aca="false">IF($X12&lt;$AL12,U12,AI12)</f>
        <v>obl</v>
      </c>
      <c r="AT12" s="17" t="str">
        <f aca="false">IF($X12&lt;$AL12,V12,AJ12)</f>
        <v>[404]7/2</v>
      </c>
      <c r="AU12" s="18" t="n">
        <f aca="false">IF($X12&lt;$AL12,W12,AK12)</f>
        <v>-7.7E-005</v>
      </c>
      <c r="AV12" s="17" t="n">
        <f aca="false">IF($X12&lt;$AL12,X12,AL12)</f>
        <v>-1117.790067</v>
      </c>
      <c r="AW12" s="17" t="n">
        <f aca="false">IF($X12&lt;$AL12,Y12,AM12)</f>
        <v>3.5</v>
      </c>
      <c r="AX12" s="17"/>
      <c r="AY12" s="19" t="n">
        <f aca="false">IF($AX12=1,"",IF($X12&lt;$AL12,Z12,AN12))</f>
        <v>2.14216</v>
      </c>
      <c r="AZ12" s="17" t="n">
        <f aca="false">IF($AX12=1,"",IF($X12&lt;$AL12,AA12,AO12)/100)</f>
        <v>-0.3538966</v>
      </c>
      <c r="BA12" s="17" t="str">
        <f aca="false">IF($AX12=1,"",IF($X12&lt;$AL12,AB12,AP12))</f>
        <v>7/2</v>
      </c>
      <c r="BB12" s="19" t="n">
        <f aca="false">IF($AX12=1,"",IF($X12&lt;$AL12,AC12,AQ12))</f>
        <v>-4.78924</v>
      </c>
      <c r="BC12" s="19" t="n">
        <f aca="false">IF($AX12=1,"",IF($X12&lt;$AL12,AD12,AR12))</f>
        <v>0.0641685924554645</v>
      </c>
      <c r="BD12" s="3" t="n">
        <f aca="false">IF(OR(AZ12="",N12=""),"",AZ12-N12)</f>
        <v>-0.3504666</v>
      </c>
      <c r="BE12" s="3" t="n">
        <f aca="false">IF(OR(BC12="",J12=""),"",BC12-J12)</f>
        <v>-0.735831407544536</v>
      </c>
    </row>
    <row r="13" customFormat="false" ht="14.25" hidden="false" customHeight="false" outlineLevel="0" collapsed="false">
      <c r="A13" s="1" t="s">
        <v>87</v>
      </c>
      <c r="B13" s="1" t="s">
        <v>88</v>
      </c>
      <c r="C13" s="1" t="s">
        <v>89</v>
      </c>
      <c r="D13" s="2" t="n">
        <v>38</v>
      </c>
      <c r="E13" s="2" t="n">
        <v>31</v>
      </c>
      <c r="F13" s="2" t="n">
        <f aca="false">D13+E13</f>
        <v>69</v>
      </c>
      <c r="G13" s="2" t="str">
        <f aca="false">IF(D13-EVEN(D13)=0,"Z-odd","N-odd")</f>
        <v>Z-odd</v>
      </c>
      <c r="H13" s="1" t="n">
        <v>1.5</v>
      </c>
      <c r="I13" s="15" t="s">
        <v>55</v>
      </c>
      <c r="J13" s="1" t="n">
        <v>0.107</v>
      </c>
      <c r="K13" s="1" t="n">
        <v>0.02</v>
      </c>
      <c r="L13" s="15" t="n">
        <f aca="false">J13/(0.6*1.44*($F13^(2/3)))</f>
        <v>0.00736157331048966</v>
      </c>
      <c r="M13" s="15" t="n">
        <f aca="false">K13/(0.6*1.44*($F13^(2/3)))</f>
        <v>0.00137599501130648</v>
      </c>
      <c r="N13" s="3" t="n">
        <v>0.171</v>
      </c>
      <c r="O13" s="3" t="n">
        <v>0.002</v>
      </c>
      <c r="P13" s="4" t="n">
        <v>1</v>
      </c>
      <c r="Q13" s="16" t="s">
        <v>64</v>
      </c>
      <c r="R13" s="17" t="n">
        <v>-1</v>
      </c>
      <c r="S13" s="17" t="n">
        <v>15</v>
      </c>
      <c r="T13" s="17" t="n">
        <v>1</v>
      </c>
      <c r="U13" s="17" t="s">
        <v>40</v>
      </c>
      <c r="V13" s="17" t="s">
        <v>64</v>
      </c>
      <c r="W13" s="18" t="n">
        <v>0.000387</v>
      </c>
      <c r="X13" s="18" t="n">
        <v>-599.935857</v>
      </c>
      <c r="Y13" s="18" t="n">
        <v>1.5</v>
      </c>
      <c r="Z13" s="19" t="n">
        <v>2.4906</v>
      </c>
      <c r="AA13" s="19" t="n">
        <v>-17.16914</v>
      </c>
      <c r="AB13" s="22" t="s">
        <v>49</v>
      </c>
      <c r="AC13" s="19" t="n">
        <v>-14.88511</v>
      </c>
      <c r="AD13" s="19" t="n">
        <f aca="false">-AC13*SQRT(4*$AD$1/7)/100</f>
        <v>0.199438022994204</v>
      </c>
      <c r="AE13" s="20" t="s">
        <v>64</v>
      </c>
      <c r="AF13" s="17" t="n">
        <v>0</v>
      </c>
      <c r="AG13" s="17" t="n">
        <v>17</v>
      </c>
      <c r="AH13" s="17" t="n">
        <v>1</v>
      </c>
      <c r="AI13" s="17" t="s">
        <v>42</v>
      </c>
      <c r="AJ13" s="17" t="s">
        <v>65</v>
      </c>
      <c r="AK13" s="18" t="n">
        <v>-2.5E-005</v>
      </c>
      <c r="AL13" s="18" t="n">
        <v>-600.015638</v>
      </c>
      <c r="AM13" s="18" t="n">
        <v>1.5</v>
      </c>
      <c r="AN13" s="19" t="n">
        <v>2.91999</v>
      </c>
      <c r="AO13" s="19" t="n">
        <v>8.03819</v>
      </c>
      <c r="AP13" s="22" t="s">
        <v>51</v>
      </c>
      <c r="AQ13" s="19" t="n">
        <v>-27.45118</v>
      </c>
      <c r="AR13" s="19" t="n">
        <f aca="false">-AQ13*SQRT(4*$AD$1/7)/100</f>
        <v>0.367804407764405</v>
      </c>
      <c r="AS13" s="20" t="str">
        <f aca="false">IF($X13&lt;$AL13,U13,AI13)</f>
        <v>pro </v>
      </c>
      <c r="AT13" s="17" t="str">
        <f aca="false">IF($X13&lt;$AL13,V13,AJ13)</f>
        <v> [301]3/2 </v>
      </c>
      <c r="AU13" s="18" t="n">
        <f aca="false">IF($X13&lt;$AL13,W13,AK13)</f>
        <v>-2.5E-005</v>
      </c>
      <c r="AV13" s="17" t="n">
        <f aca="false">IF($X13&lt;$AL13,X13,AL13)</f>
        <v>-600.015638</v>
      </c>
      <c r="AW13" s="17" t="n">
        <f aca="false">IF($X13&lt;$AL13,Y13,AM13)</f>
        <v>1.5</v>
      </c>
      <c r="AX13" s="17"/>
      <c r="AY13" s="19" t="n">
        <f aca="false">IF($AX13=1,"",IF($X13&lt;$AL13,Z13,AN13))</f>
        <v>2.91999</v>
      </c>
      <c r="AZ13" s="17" t="n">
        <f aca="false">IF($AX13=1,"",IF($X13&lt;$AL13,AA13,AO13)/100)</f>
        <v>0.0803819</v>
      </c>
      <c r="BA13" s="17" t="str">
        <f aca="false">IF($AX13=1,"",IF($X13&lt;$AL13,AB13,AP13))</f>
        <v> 3/2  </v>
      </c>
      <c r="BB13" s="19" t="n">
        <f aca="false">IF($AX13=1,"",IF($X13&lt;$AL13,AC13,AQ13))</f>
        <v>-27.45118</v>
      </c>
      <c r="BC13" s="19" t="n">
        <f aca="false">IF($AX13=1,"",IF($X13&lt;$AL13,AD13,AR13))</f>
        <v>0.367804407764405</v>
      </c>
      <c r="BD13" s="3" t="n">
        <f aca="false">IF(OR(AZ13="",N13=""),"",AZ13-N13)</f>
        <v>-0.0906181</v>
      </c>
      <c r="BE13" s="3" t="n">
        <f aca="false">IF(OR(BC13="",J13=""),"",BC13-J13)</f>
        <v>0.260804407764405</v>
      </c>
    </row>
    <row r="14" customFormat="false" ht="14.25" hidden="false" customHeight="false" outlineLevel="0" collapsed="false">
      <c r="A14" s="1" t="s">
        <v>90</v>
      </c>
      <c r="B14" s="1" t="s">
        <v>91</v>
      </c>
      <c r="C14" s="1" t="s">
        <v>92</v>
      </c>
      <c r="D14" s="2" t="n">
        <v>40</v>
      </c>
      <c r="E14" s="2" t="n">
        <v>31</v>
      </c>
      <c r="F14" s="2" t="n">
        <f aca="false">D14+E14</f>
        <v>71</v>
      </c>
      <c r="G14" s="2" t="str">
        <f aca="false">IF(D14-EVEN(D14)=0,"Z-odd","N-odd")</f>
        <v>Z-odd</v>
      </c>
      <c r="H14" s="1" t="n">
        <v>1.5</v>
      </c>
      <c r="I14" s="15" t="s">
        <v>55</v>
      </c>
      <c r="J14" s="1" t="n">
        <v>0.146</v>
      </c>
      <c r="K14" s="1" t="n">
        <v>0.02</v>
      </c>
      <c r="L14" s="15" t="n">
        <f aca="false">J14/(0.6*1.44*($F14^(2/3)))</f>
        <v>0.00985523264566602</v>
      </c>
      <c r="M14" s="15" t="n">
        <f aca="false">K14/(0.6*1.44*($F14^(2/3)))</f>
        <v>0.00135003186926932</v>
      </c>
      <c r="N14" s="3" t="n">
        <v>0.107</v>
      </c>
      <c r="O14" s="3" t="n">
        <v>0.001</v>
      </c>
      <c r="P14" s="4" t="n">
        <v>1</v>
      </c>
      <c r="Q14" s="16" t="s">
        <v>64</v>
      </c>
      <c r="R14" s="17" t="n">
        <v>-1</v>
      </c>
      <c r="S14" s="17" t="n">
        <v>15</v>
      </c>
      <c r="T14" s="17" t="n">
        <v>1</v>
      </c>
      <c r="U14" s="17" t="s">
        <v>40</v>
      </c>
      <c r="V14" s="17" t="s">
        <v>64</v>
      </c>
      <c r="W14" s="18" t="n">
        <v>0.052079</v>
      </c>
      <c r="X14" s="18" t="n">
        <v>-617.733932</v>
      </c>
      <c r="Y14" s="18" t="n">
        <v>1.518</v>
      </c>
      <c r="Z14" s="19" t="n">
        <v>3.043</v>
      </c>
      <c r="AA14" s="19" t="n">
        <v>2.47684</v>
      </c>
      <c r="AB14" s="22" t="s">
        <v>49</v>
      </c>
      <c r="AC14" s="19" t="n">
        <v>-23.79277</v>
      </c>
      <c r="AD14" s="19" t="n">
        <f aca="false">-AC14*SQRT(4*$AD$1/7)/100</f>
        <v>0.318787231693672</v>
      </c>
      <c r="AE14" s="20" t="s">
        <v>64</v>
      </c>
      <c r="AF14" s="17" t="n">
        <v>1</v>
      </c>
      <c r="AG14" s="17" t="n">
        <v>15</v>
      </c>
      <c r="AH14" s="17" t="n">
        <v>1</v>
      </c>
      <c r="AI14" s="17" t="s">
        <v>42</v>
      </c>
      <c r="AJ14" s="17" t="s">
        <v>65</v>
      </c>
      <c r="AK14" s="18" t="n">
        <v>0.00201</v>
      </c>
      <c r="AL14" s="18" t="n">
        <v>-617.726761</v>
      </c>
      <c r="AM14" s="18" t="n">
        <v>1.494</v>
      </c>
      <c r="AN14" s="19" t="n">
        <v>3.22627</v>
      </c>
      <c r="AO14" s="19" t="n">
        <v>3.01214</v>
      </c>
      <c r="AP14" s="22" t="s">
        <v>51</v>
      </c>
      <c r="AQ14" s="19" t="n">
        <v>-29.08459</v>
      </c>
      <c r="AR14" s="19" t="n">
        <f aca="false">-AQ14*SQRT(4*$AD$1/7)/100</f>
        <v>0.389689638114665</v>
      </c>
      <c r="AS14" s="20" t="str">
        <f aca="false">IF($X14&lt;$AL14,U14,AI14)</f>
        <v>obl</v>
      </c>
      <c r="AT14" s="17" t="str">
        <f aca="false">IF($X14&lt;$AL14,V14,AJ14)</f>
        <v>[301]3/2</v>
      </c>
      <c r="AU14" s="18" t="n">
        <f aca="false">IF($X14&lt;$AL14,W14,AK14)</f>
        <v>0.052079</v>
      </c>
      <c r="AV14" s="17" t="n">
        <f aca="false">IF($X14&lt;$AL14,X14,AL14)</f>
        <v>-617.733932</v>
      </c>
      <c r="AW14" s="17" t="n">
        <f aca="false">IF($X14&lt;$AL14,Y14,AM14)</f>
        <v>1.518</v>
      </c>
      <c r="AX14" s="17" t="n">
        <v>1</v>
      </c>
      <c r="AY14" s="17" t="str">
        <f aca="false">IF($AX14=1,"",IF($X14&lt;$AL14,Z14,AN14))</f>
        <v/>
      </c>
      <c r="AZ14" s="17" t="str">
        <f aca="false">IF($AX14=1,"",IF($X14&lt;$AL14,AA14,AO14)/100)</f>
        <v/>
      </c>
      <c r="BA14" s="17" t="str">
        <f aca="false">IF($AX14=1,"",IF($X14&lt;$AL14,AB14,AP14))</f>
        <v/>
      </c>
      <c r="BB14" s="17" t="str">
        <f aca="false">IF($AX14=1,"",IF($X14&lt;$AL14,AC14,AQ14))</f>
        <v/>
      </c>
      <c r="BC14" s="17" t="str">
        <f aca="false">IF($AX14=1,"",IF($X14&lt;$AL14,AD14,AR14))</f>
        <v/>
      </c>
      <c r="BD14" s="3" t="str">
        <f aca="false">IF(OR(AZ14="",N14=""),"",AZ14-N14)</f>
        <v/>
      </c>
      <c r="BE14" s="3" t="str">
        <f aca="false">IF(OR(BC14="",J14=""),"",BC14-J14)</f>
        <v/>
      </c>
    </row>
    <row r="15" customFormat="false" ht="14.25" hidden="false" customHeight="false" outlineLevel="0" collapsed="false">
      <c r="A15" s="1" t="s">
        <v>93</v>
      </c>
      <c r="B15" s="1" t="s">
        <v>94</v>
      </c>
      <c r="C15" s="1" t="s">
        <v>95</v>
      </c>
      <c r="D15" s="2" t="n">
        <v>91</v>
      </c>
      <c r="E15" s="2" t="n">
        <v>64</v>
      </c>
      <c r="F15" s="2" t="n">
        <f aca="false">D15+E15</f>
        <v>155</v>
      </c>
      <c r="G15" s="2" t="str">
        <f aca="false">IF(D15-EVEN(D15)=0,"Z-odd","N-odd")</f>
        <v>N-odd</v>
      </c>
      <c r="H15" s="1" t="n">
        <v>1.5</v>
      </c>
      <c r="I15" s="15" t="s">
        <v>55</v>
      </c>
      <c r="J15" s="1" t="n">
        <v>-1.6</v>
      </c>
      <c r="K15" s="1" t="n">
        <v>0.6</v>
      </c>
      <c r="L15" s="15" t="n">
        <f aca="false">J15/(0.6*1.44*($F15^(2/3)))</f>
        <v>-0.0641778417556133</v>
      </c>
      <c r="M15" s="15" t="n">
        <f aca="false">K15/(0.6*1.44*($F15^(2/3)))</f>
        <v>0.024066690658355</v>
      </c>
      <c r="N15" s="3" t="n">
        <v>1.27</v>
      </c>
      <c r="O15" s="3" t="n">
        <v>0.03</v>
      </c>
      <c r="P15" s="4" t="n">
        <v>1</v>
      </c>
      <c r="Q15" s="16" t="s">
        <v>96</v>
      </c>
      <c r="R15" s="17" t="n">
        <v>0</v>
      </c>
      <c r="S15" s="17" t="n">
        <v>43</v>
      </c>
      <c r="T15" s="17" t="n">
        <v>1</v>
      </c>
      <c r="U15" s="17" t="s">
        <v>40</v>
      </c>
      <c r="V15" s="17" t="s">
        <v>96</v>
      </c>
      <c r="W15" s="18" t="n">
        <v>7.56E-006</v>
      </c>
      <c r="X15" s="18" t="n">
        <v>-1270.387515</v>
      </c>
      <c r="Y15" s="18" t="n">
        <v>1.5</v>
      </c>
      <c r="Z15" s="19" t="n">
        <v>-0.4887</v>
      </c>
      <c r="AA15" s="19" t="n">
        <v>-88.2958</v>
      </c>
      <c r="AB15" s="22" t="s">
        <v>49</v>
      </c>
      <c r="AC15" s="19" t="n">
        <v>24.00474</v>
      </c>
      <c r="AD15" s="19" t="n">
        <f aca="false">-AC15*SQRT(4*$AD$1/7)/100</f>
        <v>-0.321627309982249</v>
      </c>
      <c r="AE15" s="20" t="s">
        <v>97</v>
      </c>
      <c r="AF15" s="17" t="n">
        <v>0</v>
      </c>
      <c r="AG15" s="17" t="n">
        <v>45</v>
      </c>
      <c r="AH15" s="17" t="n">
        <v>1</v>
      </c>
      <c r="AI15" s="17" t="s">
        <v>42</v>
      </c>
      <c r="AJ15" s="17" t="s">
        <v>98</v>
      </c>
      <c r="AK15" s="18" t="n">
        <v>-1.4E-005</v>
      </c>
      <c r="AL15" s="18" t="n">
        <v>-1272.587041</v>
      </c>
      <c r="AM15" s="18" t="n">
        <v>1.5</v>
      </c>
      <c r="AN15" s="19" t="n">
        <v>-0.17702</v>
      </c>
      <c r="AO15" s="19" t="n">
        <v>128.78805</v>
      </c>
      <c r="AP15" s="22" t="s">
        <v>51</v>
      </c>
      <c r="AQ15" s="19" t="n">
        <v>9.93521</v>
      </c>
      <c r="AR15" s="19" t="n">
        <f aca="false">-AQ15*SQRT(4*$AD$1/7)/100</f>
        <v>-0.133116828859998</v>
      </c>
      <c r="AS15" s="20" t="str">
        <f aca="false">IF($X15&lt;$AL15,U15,AI15)</f>
        <v>pro </v>
      </c>
      <c r="AT15" s="17" t="str">
        <f aca="false">IF($X15&lt;$AL15,V15,AJ15)</f>
        <v> [521]3/2 </v>
      </c>
      <c r="AU15" s="18" t="n">
        <f aca="false">IF($X15&lt;$AL15,W15,AK15)</f>
        <v>-1.4E-005</v>
      </c>
      <c r="AV15" s="17" t="n">
        <f aca="false">IF($X15&lt;$AL15,X15,AL15)</f>
        <v>-1272.587041</v>
      </c>
      <c r="AW15" s="17" t="n">
        <f aca="false">IF($X15&lt;$AL15,Y15,AM15)</f>
        <v>1.5</v>
      </c>
      <c r="AX15" s="17"/>
      <c r="AY15" s="19" t="n">
        <f aca="false">IF($AX15=1,"",IF($X15&lt;$AL15,Z15,AN15))</f>
        <v>-0.17702</v>
      </c>
      <c r="AZ15" s="17" t="n">
        <f aca="false">IF($AX15=1,"",IF($X15&lt;$AL15,AA15,AO15)/100)</f>
        <v>1.2878805</v>
      </c>
      <c r="BA15" s="17" t="str">
        <f aca="false">IF($AX15=1,"",IF($X15&lt;$AL15,AB15,AP15))</f>
        <v> 3/2  </v>
      </c>
      <c r="BB15" s="19" t="n">
        <f aca="false">IF($AX15=1,"",IF($X15&lt;$AL15,AC15,AQ15))</f>
        <v>9.93521</v>
      </c>
      <c r="BC15" s="19" t="n">
        <f aca="false">IF($AX15=1,"",IF($X15&lt;$AL15,AD15,AR15))</f>
        <v>-0.133116828859998</v>
      </c>
      <c r="BD15" s="3" t="n">
        <f aca="false">IF(OR(AZ15="",N15=""),"",AZ15-N15)</f>
        <v>0.0178805</v>
      </c>
      <c r="BE15" s="3" t="n">
        <f aca="false">IF(OR(BC15="",J15=""),"",BC15-J15)</f>
        <v>1.46688317114</v>
      </c>
    </row>
    <row r="16" customFormat="false" ht="14.25" hidden="false" customHeight="false" outlineLevel="0" collapsed="false">
      <c r="A16" s="1" t="s">
        <v>99</v>
      </c>
      <c r="B16" s="1" t="s">
        <v>100</v>
      </c>
      <c r="C16" s="1" t="s">
        <v>101</v>
      </c>
      <c r="D16" s="2" t="n">
        <v>121</v>
      </c>
      <c r="E16" s="2" t="n">
        <v>80</v>
      </c>
      <c r="F16" s="2" t="n">
        <f aca="false">D16+E16</f>
        <v>201</v>
      </c>
      <c r="G16" s="2" t="str">
        <f aca="false">IF(D16-EVEN(D16)=0,"Z-odd","N-odd")</f>
        <v>N-odd</v>
      </c>
      <c r="H16" s="1" t="n">
        <v>1.5</v>
      </c>
      <c r="I16" s="15" t="s">
        <v>55</v>
      </c>
      <c r="J16" s="1" t="n">
        <v>-0.13</v>
      </c>
      <c r="K16" s="1" t="n">
        <v>0.013</v>
      </c>
      <c r="L16" s="15" t="n">
        <f aca="false">J16/(0.6*1.44*($F16^(2/3)))</f>
        <v>-0.0043849593487688</v>
      </c>
      <c r="M16" s="15" t="n">
        <f aca="false">K16/(0.6*1.44*($F16^(2/3)))</f>
        <v>0.00043849593487688</v>
      </c>
      <c r="N16" s="3" t="n">
        <v>0.387</v>
      </c>
      <c r="O16" s="3" t="n">
        <v>0.006</v>
      </c>
      <c r="P16" s="4" t="n">
        <v>1</v>
      </c>
      <c r="Q16" s="16" t="s">
        <v>102</v>
      </c>
      <c r="R16" s="17" t="n">
        <v>0</v>
      </c>
      <c r="S16" s="17" t="n">
        <v>65</v>
      </c>
      <c r="T16" s="17" t="n">
        <v>1</v>
      </c>
      <c r="U16" s="17" t="s">
        <v>40</v>
      </c>
      <c r="V16" s="17" t="s">
        <v>102</v>
      </c>
      <c r="W16" s="18" t="n">
        <v>0.001016</v>
      </c>
      <c r="X16" s="18" t="n">
        <v>-1585.41466</v>
      </c>
      <c r="Y16" s="18" t="n">
        <v>1.5</v>
      </c>
      <c r="Z16" s="19" t="n">
        <v>0.04354</v>
      </c>
      <c r="AA16" s="19" t="n">
        <v>-49.30967</v>
      </c>
      <c r="AB16" s="22" t="s">
        <v>49</v>
      </c>
      <c r="AC16" s="19" t="n">
        <v>9.49406</v>
      </c>
      <c r="AD16" s="19" t="n">
        <f aca="false">-AC16*SQRT(4*$AD$1/7)/100</f>
        <v>-0.127206084240449</v>
      </c>
      <c r="AE16" s="20" t="s">
        <v>103</v>
      </c>
      <c r="AF16" s="17" t="n">
        <v>-2</v>
      </c>
      <c r="AG16" s="17" t="n">
        <v>63</v>
      </c>
      <c r="AH16" s="17" t="n">
        <v>1</v>
      </c>
      <c r="AI16" s="17" t="s">
        <v>42</v>
      </c>
      <c r="AJ16" s="17" t="s">
        <v>104</v>
      </c>
      <c r="AK16" s="18" t="n">
        <v>0.010356</v>
      </c>
      <c r="AL16" s="18" t="n">
        <v>-1585.230355</v>
      </c>
      <c r="AM16" s="18" t="n">
        <v>1.5</v>
      </c>
      <c r="AN16" s="19" t="n">
        <v>-0.01455</v>
      </c>
      <c r="AO16" s="19" t="n">
        <v>-1.08428</v>
      </c>
      <c r="AP16" s="22" t="s">
        <v>51</v>
      </c>
      <c r="AQ16" s="19" t="n">
        <v>1.7449</v>
      </c>
      <c r="AR16" s="19" t="n">
        <f aca="false">-AQ16*SQRT(4*$AD$1/7)/100</f>
        <v>-0.0233790281914333</v>
      </c>
      <c r="AS16" s="20" t="str">
        <f aca="false">IF($X16&lt;$AL16,U16,AI16)</f>
        <v>obl</v>
      </c>
      <c r="AT16" s="17" t="str">
        <f aca="false">IF($X16&lt;$AL16,V16,AJ16)</f>
        <v>[541]3/2</v>
      </c>
      <c r="AU16" s="18" t="n">
        <f aca="false">IF($X16&lt;$AL16,W16,AK16)</f>
        <v>0.001016</v>
      </c>
      <c r="AV16" s="17" t="n">
        <f aca="false">IF($X16&lt;$AL16,X16,AL16)</f>
        <v>-1585.41466</v>
      </c>
      <c r="AW16" s="17" t="n">
        <f aca="false">IF($X16&lt;$AL16,Y16,AM16)</f>
        <v>1.5</v>
      </c>
      <c r="AX16" s="17"/>
      <c r="AY16" s="19" t="n">
        <f aca="false">IF($AX16=1,"",IF($X16&lt;$AL16,Z16,AN16))</f>
        <v>0.04354</v>
      </c>
      <c r="AZ16" s="17" t="n">
        <f aca="false">IF($AX16=1,"",IF($X16&lt;$AL16,AA16,AO16)/100)</f>
        <v>-0.4930967</v>
      </c>
      <c r="BA16" s="17" t="str">
        <f aca="false">IF($AX16=1,"",IF($X16&lt;$AL16,AB16,AP16))</f>
        <v>3/2</v>
      </c>
      <c r="BB16" s="19" t="n">
        <f aca="false">IF($AX16=1,"",IF($X16&lt;$AL16,AC16,AQ16))</f>
        <v>9.49406</v>
      </c>
      <c r="BC16" s="19" t="n">
        <f aca="false">IF($AX16=1,"",IF($X16&lt;$AL16,AD16,AR16))</f>
        <v>-0.127206084240449</v>
      </c>
      <c r="BD16" s="3" t="n">
        <f aca="false">IF(OR(AZ16="",N16=""),"",AZ16-N16)</f>
        <v>-0.8800967</v>
      </c>
      <c r="BE16" s="3" t="n">
        <f aca="false">IF(OR(BC16="",J16=""),"",BC16-J16)</f>
        <v>0.0027939157595511</v>
      </c>
    </row>
    <row r="17" customFormat="false" ht="14.25" hidden="false" customHeight="false" outlineLevel="0" collapsed="false">
      <c r="A17" s="1" t="s">
        <v>105</v>
      </c>
      <c r="B17" s="1" t="s">
        <v>106</v>
      </c>
      <c r="C17" s="1" t="s">
        <v>107</v>
      </c>
      <c r="D17" s="2" t="n">
        <v>98</v>
      </c>
      <c r="E17" s="2" t="n">
        <v>67</v>
      </c>
      <c r="F17" s="2" t="n">
        <f aca="false">D17+E17</f>
        <v>165</v>
      </c>
      <c r="G17" s="2" t="str">
        <f aca="false">IF(D17-EVEN(D17)=0,"Z-odd","N-odd")</f>
        <v>Z-odd</v>
      </c>
      <c r="H17" s="1" t="n">
        <v>3.5</v>
      </c>
      <c r="I17" s="15" t="s">
        <v>55</v>
      </c>
      <c r="J17" s="1" t="n">
        <v>0.75</v>
      </c>
      <c r="K17" s="1" t="n">
        <v>0.5</v>
      </c>
      <c r="L17" s="15" t="n">
        <f aca="false">J17/(0.6*1.44*($F17^(2/3)))</f>
        <v>0.0288552533271918</v>
      </c>
      <c r="M17" s="15" t="n">
        <f aca="false">K17/(0.6*1.44*($F17^(2/3)))</f>
        <v>0.0192368355514612</v>
      </c>
      <c r="N17" s="3" t="n">
        <v>3.58</v>
      </c>
      <c r="O17" s="3" t="n">
        <v>0.02</v>
      </c>
      <c r="P17" s="4" t="n">
        <v>1</v>
      </c>
      <c r="Q17" s="16" t="s">
        <v>108</v>
      </c>
      <c r="R17" s="17" t="n">
        <v>1</v>
      </c>
      <c r="S17" s="17" t="n">
        <v>31</v>
      </c>
      <c r="T17" s="17" t="n">
        <v>1</v>
      </c>
      <c r="U17" s="17" t="s">
        <v>40</v>
      </c>
      <c r="V17" s="17" t="s">
        <v>108</v>
      </c>
      <c r="W17" s="18" t="n">
        <v>8.36E-006</v>
      </c>
      <c r="X17" s="18" t="n">
        <v>-1338.743775</v>
      </c>
      <c r="Y17" s="18" t="n">
        <v>3.5</v>
      </c>
      <c r="Z17" s="19" t="n">
        <v>3.74875</v>
      </c>
      <c r="AA17" s="19" t="n">
        <v>-262.19733</v>
      </c>
      <c r="AB17" s="22" t="s">
        <v>84</v>
      </c>
      <c r="AC17" s="19" t="n">
        <v>-3.59009</v>
      </c>
      <c r="AD17" s="19" t="n">
        <f aca="false">-AC17*SQRT(4*$AD$1/7)/100</f>
        <v>0.048101791116845</v>
      </c>
      <c r="AE17" s="20" t="s">
        <v>108</v>
      </c>
      <c r="AF17" s="17" t="n">
        <v>1</v>
      </c>
      <c r="AG17" s="17" t="n">
        <v>33</v>
      </c>
      <c r="AH17" s="17" t="n">
        <v>1</v>
      </c>
      <c r="AI17" s="17" t="s">
        <v>42</v>
      </c>
      <c r="AJ17" s="17" t="s">
        <v>109</v>
      </c>
      <c r="AK17" s="18" t="n">
        <v>2.71E-006</v>
      </c>
      <c r="AL17" s="18" t="n">
        <v>-1342.517624</v>
      </c>
      <c r="AM17" s="18" t="n">
        <v>3.5</v>
      </c>
      <c r="AN17" s="19" t="n">
        <v>4.25187</v>
      </c>
      <c r="AO17" s="19" t="n">
        <v>369.73318</v>
      </c>
      <c r="AP17" s="22" t="s">
        <v>86</v>
      </c>
      <c r="AQ17" s="19" t="n">
        <v>35.65735</v>
      </c>
      <c r="AR17" s="19" t="n">
        <f aca="false">-AQ17*SQRT(4*$AD$1/7)/100</f>
        <v>-0.477754708511551</v>
      </c>
      <c r="AS17" s="20" t="str">
        <f aca="false">IF($X17&lt;$AL17,U17,AI17)</f>
        <v>pro </v>
      </c>
      <c r="AT17" s="17" t="str">
        <f aca="false">IF($X17&lt;$AL17,V17,AJ17)</f>
        <v> [523]7/2 </v>
      </c>
      <c r="AU17" s="18" t="n">
        <f aca="false">IF($X17&lt;$AL17,W17,AK17)</f>
        <v>2.71E-006</v>
      </c>
      <c r="AV17" s="17" t="n">
        <f aca="false">IF($X17&lt;$AL17,X17,AL17)</f>
        <v>-1342.517624</v>
      </c>
      <c r="AW17" s="17" t="n">
        <f aca="false">IF($X17&lt;$AL17,Y17,AM17)</f>
        <v>3.5</v>
      </c>
      <c r="AX17" s="17"/>
      <c r="AY17" s="19" t="n">
        <f aca="false">IF($AX17=1,"",IF($X17&lt;$AL17,Z17,AN17))</f>
        <v>4.25187</v>
      </c>
      <c r="AZ17" s="17" t="n">
        <f aca="false">IF($AX17=1,"",IF($X17&lt;$AL17,AA17,AO17)/100)</f>
        <v>3.6973318</v>
      </c>
      <c r="BA17" s="17" t="str">
        <f aca="false">IF($AX17=1,"",IF($X17&lt;$AL17,AB17,AP17))</f>
        <v> 7/2  </v>
      </c>
      <c r="BB17" s="19" t="n">
        <f aca="false">IF($AX17=1,"",IF($X17&lt;$AL17,AC17,AQ17))</f>
        <v>35.65735</v>
      </c>
      <c r="BC17" s="19" t="n">
        <f aca="false">IF($AX17=1,"",IF($X17&lt;$AL17,AD17,AR17))</f>
        <v>-0.477754708511551</v>
      </c>
      <c r="BD17" s="3" t="n">
        <f aca="false">IF(OR(AZ17="",N17=""),"",AZ17-N17)</f>
        <v>0.1173318</v>
      </c>
      <c r="BE17" s="3" t="n">
        <f aca="false">IF(OR(BC17="",J17=""),"",BC17-J17)</f>
        <v>-1.22775470851155</v>
      </c>
    </row>
    <row r="18" customFormat="false" ht="14.25" hidden="false" customHeight="false" outlineLevel="0" collapsed="false">
      <c r="A18" s="1" t="s">
        <v>110</v>
      </c>
      <c r="B18" s="1" t="s">
        <v>111</v>
      </c>
      <c r="C18" s="1" t="s">
        <v>112</v>
      </c>
      <c r="D18" s="2" t="n">
        <v>74</v>
      </c>
      <c r="E18" s="2" t="n">
        <v>53</v>
      </c>
      <c r="F18" s="2" t="n">
        <f aca="false">D18+E18</f>
        <v>127</v>
      </c>
      <c r="G18" s="2" t="str">
        <f aca="false">IF(D18-EVEN(D18)=0,"Z-odd","N-odd")</f>
        <v>Z-odd</v>
      </c>
      <c r="H18" s="1" t="n">
        <v>2.5</v>
      </c>
      <c r="I18" s="15" t="s">
        <v>38</v>
      </c>
      <c r="J18" s="1" t="n">
        <v>0.167</v>
      </c>
      <c r="K18" s="1" t="n">
        <v>0</v>
      </c>
      <c r="L18" s="15" t="n">
        <f aca="false">J18/(0.6*1.44*($F18^(2/3)))</f>
        <v>0.0076500965215565</v>
      </c>
      <c r="M18" s="15" t="n">
        <f aca="false">K18/(0.6*1.44*($F18^(2/3)))</f>
        <v>0</v>
      </c>
      <c r="N18" s="3" t="n">
        <v>-0.688</v>
      </c>
      <c r="O18" s="3" t="n">
        <v>0.01</v>
      </c>
      <c r="P18" s="4" t="n">
        <v>1</v>
      </c>
      <c r="Q18" s="16" t="s">
        <v>113</v>
      </c>
      <c r="R18" s="17" t="n">
        <v>0</v>
      </c>
      <c r="S18" s="17" t="n">
        <v>27</v>
      </c>
      <c r="T18" s="17" t="n">
        <v>0</v>
      </c>
      <c r="U18" s="17" t="s">
        <v>40</v>
      </c>
      <c r="V18" s="17" t="s">
        <v>113</v>
      </c>
      <c r="W18" s="18" t="n">
        <v>2.3E-005</v>
      </c>
      <c r="X18" s="18" t="n">
        <v>-1072.099327</v>
      </c>
      <c r="Y18" s="18" t="n">
        <v>2.5</v>
      </c>
      <c r="Z18" s="19" t="n">
        <v>3.00233</v>
      </c>
      <c r="AA18" s="19" t="n">
        <v>-72.77014</v>
      </c>
      <c r="AB18" s="22" t="s">
        <v>41</v>
      </c>
      <c r="AC18" s="19" t="n">
        <v>-6.6126</v>
      </c>
      <c r="AD18" s="19" t="n">
        <f aca="false">-AC18*SQRT(4*$AD$1/7)/100</f>
        <v>0.0885988663067636</v>
      </c>
      <c r="AE18" s="20" t="s">
        <v>114</v>
      </c>
      <c r="AF18" s="17" t="n">
        <v>3</v>
      </c>
      <c r="AG18" s="17" t="n">
        <v>33</v>
      </c>
      <c r="AH18" s="17" t="n">
        <v>0</v>
      </c>
      <c r="AI18" s="17" t="s">
        <v>42</v>
      </c>
      <c r="AJ18" s="17" t="s">
        <v>115</v>
      </c>
      <c r="AK18" s="18" t="n">
        <v>-0.000817</v>
      </c>
      <c r="AL18" s="18" t="n">
        <v>-1071.295302</v>
      </c>
      <c r="AM18" s="18" t="n">
        <v>2.5</v>
      </c>
      <c r="AN18" s="19" t="n">
        <v>1.97323</v>
      </c>
      <c r="AO18" s="19" t="n">
        <v>42.95376</v>
      </c>
      <c r="AP18" s="22" t="s">
        <v>44</v>
      </c>
      <c r="AQ18" s="19" t="n">
        <v>-6.30189</v>
      </c>
      <c r="AR18" s="19" t="n">
        <f aca="false">-AQ18*SQRT(4*$AD$1/7)/100</f>
        <v>0.0844358209463646</v>
      </c>
      <c r="AS18" s="20" t="str">
        <f aca="false">IF($X18&lt;$AL18,U18,AI18)</f>
        <v>obl</v>
      </c>
      <c r="AT18" s="17" t="str">
        <f aca="false">IF($X18&lt;$AL18,V18,AJ18)</f>
        <v>[402]5/2</v>
      </c>
      <c r="AU18" s="18" t="n">
        <f aca="false">IF($X18&lt;$AL18,W18,AK18)</f>
        <v>2.3E-005</v>
      </c>
      <c r="AV18" s="17" t="n">
        <f aca="false">IF($X18&lt;$AL18,X18,AL18)</f>
        <v>-1072.099327</v>
      </c>
      <c r="AW18" s="17" t="n">
        <f aca="false">IF($X18&lt;$AL18,Y18,AM18)</f>
        <v>2.5</v>
      </c>
      <c r="AX18" s="17"/>
      <c r="AY18" s="19" t="n">
        <f aca="false">IF($AX18=1,"",IF($X18&lt;$AL18,Z18,AN18))</f>
        <v>3.00233</v>
      </c>
      <c r="AZ18" s="17" t="n">
        <f aca="false">IF($AX18=1,"",IF($X18&lt;$AL18,AA18,AO18)/100)</f>
        <v>-0.7277014</v>
      </c>
      <c r="BA18" s="17" t="str">
        <f aca="false">IF($AX18=1,"",IF($X18&lt;$AL18,AB18,AP18))</f>
        <v>5/2</v>
      </c>
      <c r="BB18" s="19" t="n">
        <f aca="false">IF($AX18=1,"",IF($X18&lt;$AL18,AC18,AQ18))</f>
        <v>-6.6126</v>
      </c>
      <c r="BC18" s="19" t="n">
        <f aca="false">IF($AX18=1,"",IF($X18&lt;$AL18,AD18,AR18))</f>
        <v>0.0885988663067636</v>
      </c>
      <c r="BD18" s="3" t="n">
        <f aca="false">IF(OR(AZ18="",N18=""),"",AZ18-N18)</f>
        <v>-0.0397014</v>
      </c>
      <c r="BE18" s="3" t="n">
        <f aca="false">IF(OR(BC18="",J18=""),"",BC18-J18)</f>
        <v>-0.0784011336932364</v>
      </c>
    </row>
    <row r="19" customFormat="false" ht="14.25" hidden="false" customHeight="false" outlineLevel="0" collapsed="false">
      <c r="A19" s="1" t="s">
        <v>116</v>
      </c>
      <c r="B19" s="1" t="s">
        <v>117</v>
      </c>
      <c r="C19" s="1" t="s">
        <v>118</v>
      </c>
      <c r="D19" s="2" t="n">
        <v>64</v>
      </c>
      <c r="E19" s="2" t="n">
        <v>49</v>
      </c>
      <c r="F19" s="2" t="n">
        <f aca="false">D19+E19</f>
        <v>113</v>
      </c>
      <c r="G19" s="2" t="str">
        <f aca="false">IF(D19-EVEN(D19)=0,"Z-odd","N-odd")</f>
        <v>Z-odd</v>
      </c>
      <c r="H19" s="1" t="n">
        <v>4.5</v>
      </c>
      <c r="I19" s="15" t="s">
        <v>38</v>
      </c>
      <c r="J19" s="1" t="n">
        <v>0.565</v>
      </c>
      <c r="K19" s="1" t="n">
        <v>0.012</v>
      </c>
      <c r="L19" s="15" t="n">
        <f aca="false">J19/(0.6*1.44*($F19^(2/3)))</f>
        <v>0.0279779405504146</v>
      </c>
      <c r="M19" s="15" t="n">
        <f aca="false">K19/(0.6*1.44*($F19^(2/3)))</f>
        <v>0.000594221746203496</v>
      </c>
      <c r="N19" s="3" t="n">
        <v>0.761</v>
      </c>
      <c r="O19" s="3" t="n">
        <v>0.005</v>
      </c>
      <c r="P19" s="4" t="n">
        <v>0</v>
      </c>
      <c r="Q19" s="16" t="s">
        <v>119</v>
      </c>
      <c r="R19" s="17" t="n">
        <v>-4</v>
      </c>
      <c r="S19" s="17" t="n">
        <v>15</v>
      </c>
      <c r="T19" s="17" t="n">
        <v>0</v>
      </c>
      <c r="U19" s="17" t="s">
        <v>40</v>
      </c>
      <c r="V19" s="17" t="s">
        <v>119</v>
      </c>
      <c r="W19" s="18" t="n">
        <v>4.7E-005</v>
      </c>
      <c r="X19" s="18" t="n">
        <v>-963.65477</v>
      </c>
      <c r="Y19" s="18" t="n">
        <v>4.5</v>
      </c>
      <c r="Z19" s="19" t="n">
        <v>5.76476</v>
      </c>
      <c r="AA19" s="19" t="n">
        <v>73.25984</v>
      </c>
      <c r="AB19" s="22" t="s">
        <v>57</v>
      </c>
      <c r="AC19" s="19" t="n">
        <v>-56.99656</v>
      </c>
      <c r="AD19" s="19" t="n">
        <f aca="false">-AC19*SQRT(4*$AD$1/7)/100</f>
        <v>0.763667936875878</v>
      </c>
      <c r="AE19" s="20" t="s">
        <v>119</v>
      </c>
      <c r="AF19" s="17" t="n">
        <v>0</v>
      </c>
      <c r="AG19" s="17" t="n">
        <v>23</v>
      </c>
      <c r="AH19" s="17" t="n">
        <v>0</v>
      </c>
      <c r="AI19" s="17" t="s">
        <v>42</v>
      </c>
      <c r="AJ19" s="17" t="s">
        <v>120</v>
      </c>
      <c r="AK19" s="18" t="n">
        <v>9.73E-006</v>
      </c>
      <c r="AL19" s="18" t="n">
        <v>-963.654771</v>
      </c>
      <c r="AM19" s="18" t="n">
        <v>4.5</v>
      </c>
      <c r="AN19" s="19" t="n">
        <v>5.76466</v>
      </c>
      <c r="AO19" s="19" t="n">
        <v>73.27705</v>
      </c>
      <c r="AP19" s="22" t="s">
        <v>59</v>
      </c>
      <c r="AQ19" s="19" t="n">
        <v>-56.98188</v>
      </c>
      <c r="AR19" s="19" t="n">
        <f aca="false">-AQ19*SQRT(4*$AD$1/7)/100</f>
        <v>0.76347124701752</v>
      </c>
      <c r="AS19" s="20" t="str">
        <f aca="false">IF($X19&lt;$AL19,U19,AI19)</f>
        <v>pro </v>
      </c>
      <c r="AT19" s="17" t="str">
        <f aca="false">IF($X19&lt;$AL19,V19,AJ19)</f>
        <v> [404]9/2 </v>
      </c>
      <c r="AU19" s="18" t="n">
        <f aca="false">IF($X19&lt;$AL19,W19,AK19)</f>
        <v>9.73E-006</v>
      </c>
      <c r="AV19" s="18" t="n">
        <f aca="false">IF($X19&lt;$AL19,X19,AL19)</f>
        <v>-963.654771</v>
      </c>
      <c r="AW19" s="18" t="n">
        <f aca="false">IF($X19&lt;$AL19,Y19,AM19)</f>
        <v>4.5</v>
      </c>
      <c r="AX19" s="17"/>
      <c r="AY19" s="19" t="n">
        <f aca="false">IF($AX19=1,"",IF($X19&lt;$AL19,Z19,AN19))</f>
        <v>5.76466</v>
      </c>
      <c r="AZ19" s="17" t="n">
        <f aca="false">IF($AX19=1,"",IF($X19&lt;$AL19,AA19,AO19)/100)</f>
        <v>0.7327705</v>
      </c>
      <c r="BA19" s="17" t="str">
        <f aca="false">IF($AX19=1,"",IF($X19&lt;$AL19,AB19,AP19))</f>
        <v> 9/2  </v>
      </c>
      <c r="BB19" s="19" t="n">
        <f aca="false">IF($AX19=1,"",IF($X19&lt;$AL19,AC19,AQ19))</f>
        <v>-56.98188</v>
      </c>
      <c r="BC19" s="19" t="n">
        <f aca="false">IF($AX19=1,"",IF($X19&lt;$AL19,AD19,AR19))</f>
        <v>0.76347124701752</v>
      </c>
      <c r="BD19" s="3" t="n">
        <f aca="false">IF(OR(AZ19="",N19=""),"",AZ19-N19)</f>
        <v>-0.0282295</v>
      </c>
      <c r="BE19" s="3" t="n">
        <f aca="false">IF(OR(BC19="",J19=""),"",BC19-J19)</f>
        <v>0.19847124701752</v>
      </c>
    </row>
    <row r="20" customFormat="false" ht="14.25" hidden="false" customHeight="false" outlineLevel="0" collapsed="false">
      <c r="A20" s="1" t="s">
        <v>121</v>
      </c>
      <c r="B20" s="1" t="s">
        <v>122</v>
      </c>
      <c r="C20" s="1" t="s">
        <v>123</v>
      </c>
      <c r="D20" s="2" t="n">
        <v>66</v>
      </c>
      <c r="E20" s="2" t="n">
        <v>49</v>
      </c>
      <c r="F20" s="2" t="n">
        <f aca="false">D20+E20</f>
        <v>115</v>
      </c>
      <c r="G20" s="2" t="str">
        <f aca="false">IF(D20-EVEN(D20)=0,"Z-odd","N-odd")</f>
        <v>Z-odd</v>
      </c>
      <c r="H20" s="1" t="n">
        <v>4.5</v>
      </c>
      <c r="I20" s="15" t="s">
        <v>38</v>
      </c>
      <c r="J20" s="1" t="n">
        <v>0.574</v>
      </c>
      <c r="K20" s="1" t="n">
        <v>0.015</v>
      </c>
      <c r="L20" s="15" t="n">
        <f aca="false">J20/(0.6*1.44*($F20^(2/3)))</f>
        <v>0.0280930951212572</v>
      </c>
      <c r="M20" s="15" t="n">
        <f aca="false">K20/(0.6*1.44*($F20^(2/3)))</f>
        <v>0.000734140116409161</v>
      </c>
      <c r="N20" s="3" t="n">
        <v>0.772</v>
      </c>
      <c r="O20" s="3" t="n">
        <v>0.005</v>
      </c>
      <c r="P20" s="4" t="n">
        <v>0</v>
      </c>
      <c r="Q20" s="16" t="s">
        <v>119</v>
      </c>
      <c r="R20" s="17" t="n">
        <v>-4</v>
      </c>
      <c r="S20" s="17" t="n">
        <v>15</v>
      </c>
      <c r="T20" s="17" t="n">
        <v>0</v>
      </c>
      <c r="U20" s="17" t="s">
        <v>40</v>
      </c>
      <c r="V20" s="17" t="s">
        <v>119</v>
      </c>
      <c r="W20" s="18" t="n">
        <v>8.5E-005</v>
      </c>
      <c r="X20" s="18" t="n">
        <v>-979.799009</v>
      </c>
      <c r="Y20" s="18" t="n">
        <v>4.5</v>
      </c>
      <c r="Z20" s="19" t="n">
        <v>5.81121</v>
      </c>
      <c r="AA20" s="19" t="n">
        <v>68.5311</v>
      </c>
      <c r="AB20" s="22" t="s">
        <v>57</v>
      </c>
      <c r="AC20" s="19" t="n">
        <v>-62.71928</v>
      </c>
      <c r="AD20" s="19" t="n">
        <f aca="false">-AC20*SQRT(4*$AD$1/7)/100</f>
        <v>0.840343753376354</v>
      </c>
      <c r="AE20" s="20" t="s">
        <v>119</v>
      </c>
      <c r="AF20" s="17" t="n">
        <v>0</v>
      </c>
      <c r="AG20" s="17" t="n">
        <v>23</v>
      </c>
      <c r="AH20" s="17" t="n">
        <v>0</v>
      </c>
      <c r="AI20" s="17" t="s">
        <v>42</v>
      </c>
      <c r="AJ20" s="17" t="s">
        <v>120</v>
      </c>
      <c r="AK20" s="18" t="n">
        <v>9.86E-006</v>
      </c>
      <c r="AL20" s="18" t="n">
        <v>-979.799008</v>
      </c>
      <c r="AM20" s="18" t="n">
        <v>4.5</v>
      </c>
      <c r="AN20" s="19" t="n">
        <v>5.811</v>
      </c>
      <c r="AO20" s="19" t="n">
        <v>68.56263</v>
      </c>
      <c r="AP20" s="22" t="s">
        <v>59</v>
      </c>
      <c r="AQ20" s="19" t="n">
        <v>-62.70128</v>
      </c>
      <c r="AR20" s="19" t="n">
        <f aca="false">-AQ20*SQRT(4*$AD$1/7)/100</f>
        <v>0.840102580525505</v>
      </c>
      <c r="AS20" s="20" t="str">
        <f aca="false">IF($X20&lt;$AL20,U20,AI20)</f>
        <v>obl</v>
      </c>
      <c r="AT20" s="17" t="str">
        <f aca="false">IF($X20&lt;$AL20,V20,AJ20)</f>
        <v>[404]9/2</v>
      </c>
      <c r="AU20" s="18" t="n">
        <f aca="false">IF($X20&lt;$AL20,W20,AK20)</f>
        <v>8.5E-005</v>
      </c>
      <c r="AV20" s="18" t="n">
        <f aca="false">IF($X20&lt;$AL20,X20,AL20)</f>
        <v>-979.799009</v>
      </c>
      <c r="AW20" s="18" t="n">
        <f aca="false">IF($X20&lt;$AL20,Y20,AM20)</f>
        <v>4.5</v>
      </c>
      <c r="AX20" s="17"/>
      <c r="AY20" s="19" t="n">
        <f aca="false">IF($AX20=1,"",IF($X20&lt;$AL20,Z20,AN20))</f>
        <v>5.81121</v>
      </c>
      <c r="AZ20" s="17" t="n">
        <f aca="false">IF($AX20=1,"",IF($X20&lt;$AL20,AA20,AO20)/100)</f>
        <v>0.685311</v>
      </c>
      <c r="BA20" s="17" t="str">
        <f aca="false">IF($AX20=1,"",IF($X20&lt;$AL20,AB20,AP20))</f>
        <v>9/2</v>
      </c>
      <c r="BB20" s="19" t="n">
        <f aca="false">IF($AX20=1,"",IF($X20&lt;$AL20,AC20,AQ20))</f>
        <v>-62.71928</v>
      </c>
      <c r="BC20" s="19" t="n">
        <f aca="false">IF($AX20=1,"",IF($X20&lt;$AL20,AD20,AR20))</f>
        <v>0.840343753376354</v>
      </c>
      <c r="BD20" s="3" t="n">
        <f aca="false">IF(OR(AZ20="",N20=""),"",AZ20-N20)</f>
        <v>-0.086689</v>
      </c>
      <c r="BE20" s="3" t="n">
        <f aca="false">IF(OR(BC20="",J20=""),"",BC20-J20)</f>
        <v>0.266343753376354</v>
      </c>
    </row>
    <row r="21" customFormat="false" ht="14.25" hidden="false" customHeight="false" outlineLevel="0" collapsed="false">
      <c r="A21" s="1" t="s">
        <v>124</v>
      </c>
      <c r="B21" s="1" t="s">
        <v>125</v>
      </c>
      <c r="C21" s="1" t="s">
        <v>126</v>
      </c>
      <c r="D21" s="2" t="n">
        <v>20</v>
      </c>
      <c r="E21" s="2" t="n">
        <v>19</v>
      </c>
      <c r="F21" s="2" t="n">
        <f aca="false">D21+E21</f>
        <v>39</v>
      </c>
      <c r="G21" s="2" t="str">
        <f aca="false">IF(D21-EVEN(D21)=0,"Z-odd","N-odd")</f>
        <v>Z-odd</v>
      </c>
      <c r="H21" s="1" t="n">
        <v>1.5</v>
      </c>
      <c r="I21" s="15" t="s">
        <v>38</v>
      </c>
      <c r="J21" s="1" t="n">
        <v>0.066</v>
      </c>
      <c r="K21" s="1" t="n">
        <v>0</v>
      </c>
      <c r="L21" s="15" t="n">
        <f aca="false">J21/(0.6*1.44*($F21^(2/3)))</f>
        <v>0.00664233010561892</v>
      </c>
      <c r="M21" s="15" t="n">
        <f aca="false">K21/(0.6*1.44*($F21^(2/3)))</f>
        <v>0</v>
      </c>
      <c r="N21" s="3" t="n">
        <v>0.603</v>
      </c>
      <c r="O21" s="3" t="n">
        <v>0.006</v>
      </c>
      <c r="P21" s="4" t="n">
        <v>1</v>
      </c>
      <c r="Q21" s="16" t="s">
        <v>75</v>
      </c>
      <c r="R21" s="17" t="n">
        <v>0</v>
      </c>
      <c r="S21" s="17" t="n">
        <v>11</v>
      </c>
      <c r="T21" s="17" t="n">
        <v>0</v>
      </c>
      <c r="U21" s="17" t="s">
        <v>40</v>
      </c>
      <c r="V21" s="17" t="s">
        <v>75</v>
      </c>
      <c r="W21" s="18" t="n">
        <v>9.38E-006</v>
      </c>
      <c r="X21" s="18" t="n">
        <v>-332.402638</v>
      </c>
      <c r="Y21" s="18" t="n">
        <v>1.5</v>
      </c>
      <c r="Z21" s="19" t="n">
        <v>0.12593</v>
      </c>
      <c r="AA21" s="19" t="n">
        <v>5.45649</v>
      </c>
      <c r="AB21" s="22" t="s">
        <v>49</v>
      </c>
      <c r="AC21" s="19" t="n">
        <v>0.83944</v>
      </c>
      <c r="AD21" s="19" t="n">
        <f aca="false">-AC21*SQRT(4*$AD$1/7)/100</f>
        <v>-0.0112472298842437</v>
      </c>
      <c r="AE21" s="20" t="s">
        <v>75</v>
      </c>
      <c r="AF21" s="17" t="n">
        <v>0</v>
      </c>
      <c r="AG21" s="17" t="n">
        <v>11</v>
      </c>
      <c r="AH21" s="17" t="n">
        <v>0</v>
      </c>
      <c r="AI21" s="17" t="s">
        <v>42</v>
      </c>
      <c r="AJ21" s="17" t="s">
        <v>76</v>
      </c>
      <c r="AK21" s="18" t="n">
        <v>9.38E-006</v>
      </c>
      <c r="AL21" s="18" t="n">
        <v>-332.402638</v>
      </c>
      <c r="AM21" s="18" t="n">
        <v>1.5</v>
      </c>
      <c r="AN21" s="19" t="n">
        <v>0.12593</v>
      </c>
      <c r="AO21" s="19" t="n">
        <v>5.45649</v>
      </c>
      <c r="AP21" s="22" t="s">
        <v>51</v>
      </c>
      <c r="AQ21" s="19" t="n">
        <v>0.83944</v>
      </c>
      <c r="AR21" s="19" t="n">
        <f aca="false">-AQ21*SQRT(4*$AD$1/7)/100</f>
        <v>-0.0112472298842437</v>
      </c>
      <c r="AS21" s="20" t="str">
        <f aca="false">IF($X21&lt;$AL21,U21,AI21)</f>
        <v>pro </v>
      </c>
      <c r="AT21" s="17" t="str">
        <f aca="false">IF($X21&lt;$AL21,V21,AJ21)</f>
        <v> [202]3/2 </v>
      </c>
      <c r="AU21" s="18" t="n">
        <f aca="false">IF($X21&lt;$AL21,W21,AK21)</f>
        <v>9.38E-006</v>
      </c>
      <c r="AV21" s="18" t="n">
        <f aca="false">IF($X21&lt;$AL21,X21,AL21)</f>
        <v>-332.402638</v>
      </c>
      <c r="AW21" s="18" t="n">
        <f aca="false">IF($X21&lt;$AL21,Y21,AM21)</f>
        <v>1.5</v>
      </c>
      <c r="AX21" s="17"/>
      <c r="AY21" s="19" t="n">
        <f aca="false">IF($AX21=1,"",IF($X21&lt;$AL21,Z21,AN21))</f>
        <v>0.12593</v>
      </c>
      <c r="AZ21" s="17" t="n">
        <f aca="false">IF($AX21=1,"",IF($X21&lt;$AL21,AA21,AO21)/100)</f>
        <v>0.0545649</v>
      </c>
      <c r="BA21" s="17" t="str">
        <f aca="false">IF($AX21=1,"",IF($X21&lt;$AL21,AB21,AP21))</f>
        <v> 3/2  </v>
      </c>
      <c r="BB21" s="19" t="n">
        <f aca="false">IF($AX21=1,"",IF($X21&lt;$AL21,AC21,AQ21))</f>
        <v>0.83944</v>
      </c>
      <c r="BC21" s="19" t="n">
        <f aca="false">IF($AX21=1,"",IF($X21&lt;$AL21,AD21,AR21))</f>
        <v>-0.0112472298842437</v>
      </c>
      <c r="BD21" s="3" t="n">
        <f aca="false">IF(OR(AZ21="",N21=""),"",AZ21-N21)</f>
        <v>-0.5484351</v>
      </c>
      <c r="BE21" s="3" t="n">
        <f aca="false">IF(OR(BC21="",J21=""),"",BC21-J21)</f>
        <v>-0.0772472298842437</v>
      </c>
    </row>
    <row r="22" customFormat="false" ht="14.25" hidden="false" customHeight="false" outlineLevel="0" collapsed="false">
      <c r="A22" s="1" t="s">
        <v>127</v>
      </c>
      <c r="B22" s="1" t="s">
        <v>128</v>
      </c>
      <c r="C22" s="1" t="s">
        <v>129</v>
      </c>
      <c r="D22" s="2" t="n">
        <v>47</v>
      </c>
      <c r="E22" s="2" t="n">
        <v>36</v>
      </c>
      <c r="F22" s="2" t="n">
        <f aca="false">D22+E22</f>
        <v>83</v>
      </c>
      <c r="G22" s="2" t="str">
        <f aca="false">IF(D22-EVEN(D22)=0,"Z-odd","N-odd")</f>
        <v>N-odd</v>
      </c>
      <c r="H22" s="1" t="n">
        <v>1.5</v>
      </c>
      <c r="I22" s="15" t="s">
        <v>38</v>
      </c>
      <c r="J22" s="1" t="n">
        <v>-0.18</v>
      </c>
      <c r="K22" s="1" t="n">
        <v>0.06</v>
      </c>
      <c r="L22" s="15" t="n">
        <f aca="false">J22/(0.6*1.44*($F22^(2/3)))</f>
        <v>-0.0109489725689127</v>
      </c>
      <c r="M22" s="15" t="n">
        <f aca="false">K22/(0.6*1.44*($F22^(2/3)))</f>
        <v>0.00364965752297092</v>
      </c>
      <c r="N22" s="3" t="n">
        <v>0.259</v>
      </c>
      <c r="O22" s="3" t="n">
        <v>0.001</v>
      </c>
      <c r="P22" s="4" t="n">
        <v>1</v>
      </c>
      <c r="Q22" s="16" t="s">
        <v>130</v>
      </c>
      <c r="R22" s="17" t="n">
        <v>-1</v>
      </c>
      <c r="S22" s="17" t="n">
        <v>21</v>
      </c>
      <c r="T22" s="17" t="n">
        <v>0</v>
      </c>
      <c r="U22" s="17" t="s">
        <v>40</v>
      </c>
      <c r="V22" s="17" t="s">
        <v>130</v>
      </c>
      <c r="W22" s="18" t="n">
        <v>-1.3E-005</v>
      </c>
      <c r="X22" s="18" t="n">
        <v>-721.99173</v>
      </c>
      <c r="Y22" s="18" t="n">
        <v>1.5</v>
      </c>
      <c r="Z22" s="19" t="n">
        <v>-0.62723</v>
      </c>
      <c r="AA22" s="19" t="n">
        <v>-11.74084</v>
      </c>
      <c r="AB22" s="22" t="s">
        <v>49</v>
      </c>
      <c r="AC22" s="19" t="n">
        <v>-12.31371</v>
      </c>
      <c r="AD22" s="19" t="n">
        <f aca="false">-AC22*SQRT(4*$AD$1/7)/100</f>
        <v>0.164985141401303</v>
      </c>
      <c r="AE22" s="20" t="s">
        <v>131</v>
      </c>
      <c r="AF22" s="17" t="n">
        <v>-2</v>
      </c>
      <c r="AG22" s="17" t="n">
        <v>17</v>
      </c>
      <c r="AH22" s="17" t="n">
        <v>0</v>
      </c>
      <c r="AI22" s="17" t="s">
        <v>42</v>
      </c>
      <c r="AJ22" s="17" t="s">
        <v>132</v>
      </c>
      <c r="AK22" s="18" t="n">
        <v>0.000972</v>
      </c>
      <c r="AL22" s="18" t="n">
        <v>-721.72087</v>
      </c>
      <c r="AM22" s="18" t="n">
        <v>1.5</v>
      </c>
      <c r="AN22" s="19" t="n">
        <v>-0.56993</v>
      </c>
      <c r="AO22" s="19" t="n">
        <v>4.68134</v>
      </c>
      <c r="AP22" s="22" t="s">
        <v>51</v>
      </c>
      <c r="AQ22" s="19" t="n">
        <v>-9.61017</v>
      </c>
      <c r="AR22" s="19" t="n">
        <f aca="false">-AQ22*SQRT(4*$AD$1/7)/100</f>
        <v>0.12876178311334</v>
      </c>
      <c r="AS22" s="20" t="str">
        <f aca="false">IF($X22&lt;$AL22,U22,AI22)</f>
        <v>obl</v>
      </c>
      <c r="AT22" s="17" t="str">
        <f aca="false">IF($X22&lt;$AL22,V22,AJ22)</f>
        <v>[411]3/2</v>
      </c>
      <c r="AU22" s="18" t="n">
        <f aca="false">IF($X22&lt;$AL22,W22,AK22)</f>
        <v>-1.3E-005</v>
      </c>
      <c r="AV22" s="18" t="n">
        <f aca="false">IF($X22&lt;$AL22,X22,AL22)</f>
        <v>-721.99173</v>
      </c>
      <c r="AW22" s="18" t="n">
        <f aca="false">IF($X22&lt;$AL22,Y22,AM22)</f>
        <v>1.5</v>
      </c>
      <c r="AX22" s="17"/>
      <c r="AY22" s="19" t="n">
        <f aca="false">IF($AX22=1,"",IF($X22&lt;$AL22,Z22,AN22))</f>
        <v>-0.62723</v>
      </c>
      <c r="AZ22" s="17" t="n">
        <f aca="false">IF($AX22=1,"",IF($X22&lt;$AL22,AA22,AO22)/100)</f>
        <v>-0.1174084</v>
      </c>
      <c r="BA22" s="17" t="str">
        <f aca="false">IF($AX22=1,"",IF($X22&lt;$AL22,AB22,AP22))</f>
        <v>3/2</v>
      </c>
      <c r="BB22" s="19" t="n">
        <f aca="false">IF($AX22=1,"",IF($X22&lt;$AL22,AC22,AQ22))</f>
        <v>-12.31371</v>
      </c>
      <c r="BC22" s="19" t="n">
        <f aca="false">IF($AX22=1,"",IF($X22&lt;$AL22,AD22,AR22))</f>
        <v>0.164985141401303</v>
      </c>
      <c r="BD22" s="3" t="n">
        <f aca="false">IF(OR(AZ22="",N22=""),"",AZ22-N22)</f>
        <v>-0.3764084</v>
      </c>
      <c r="BE22" s="3" t="n">
        <f aca="false">IF(OR(BC22="",J22=""),"",BC22-J22)</f>
        <v>0.344985141401303</v>
      </c>
    </row>
    <row r="23" customFormat="false" ht="14.25" hidden="false" customHeight="false" outlineLevel="0" collapsed="false">
      <c r="A23" s="1" t="s">
        <v>133</v>
      </c>
      <c r="B23" s="1" t="s">
        <v>134</v>
      </c>
      <c r="C23" s="1" t="s">
        <v>135</v>
      </c>
      <c r="D23" s="2" t="n">
        <v>13</v>
      </c>
      <c r="E23" s="2" t="n">
        <v>12</v>
      </c>
      <c r="F23" s="2" t="n">
        <f aca="false">D23+E23</f>
        <v>25</v>
      </c>
      <c r="G23" s="2" t="str">
        <f aca="false">IF(D23-EVEN(D23)=0,"Z-odd","N-odd")</f>
        <v>N-odd</v>
      </c>
      <c r="H23" s="1" t="n">
        <v>2.5</v>
      </c>
      <c r="I23" s="15" t="s">
        <v>38</v>
      </c>
      <c r="J23" s="1" t="n">
        <v>-0.042</v>
      </c>
      <c r="K23" s="1" t="n">
        <v>0.009</v>
      </c>
      <c r="L23" s="15" t="n">
        <f aca="false">J23/(0.6*1.44*($F23^(2/3)))</f>
        <v>-0.00568559004652502</v>
      </c>
      <c r="M23" s="15" t="n">
        <f aca="false">K23/(0.6*1.44*($F23^(2/3)))</f>
        <v>0.00121834072425536</v>
      </c>
      <c r="Q23" s="16" t="s">
        <v>39</v>
      </c>
      <c r="R23" s="17" t="n">
        <v>0</v>
      </c>
      <c r="S23" s="17" t="n">
        <v>7</v>
      </c>
      <c r="T23" s="17" t="n">
        <v>0</v>
      </c>
      <c r="U23" s="17" t="s">
        <v>40</v>
      </c>
      <c r="V23" s="17" t="s">
        <v>39</v>
      </c>
      <c r="W23" s="18" t="n">
        <v>-0.003242</v>
      </c>
      <c r="X23" s="18" t="n">
        <v>-198.916297</v>
      </c>
      <c r="Y23" s="18" t="n">
        <v>1.885</v>
      </c>
      <c r="Z23" s="19" t="n">
        <v>-0.75384</v>
      </c>
      <c r="AA23" s="19" t="n">
        <v>18.85559</v>
      </c>
      <c r="AB23" s="22" t="s">
        <v>41</v>
      </c>
      <c r="AC23" s="19" t="n">
        <v>0.17444</v>
      </c>
      <c r="AD23" s="19" t="n">
        <f aca="false">-AC23*SQRT(4*$AD$1/7)/100</f>
        <v>-0.00233723289455764</v>
      </c>
      <c r="AE23" s="20" t="s">
        <v>39</v>
      </c>
      <c r="AF23" s="17" t="n">
        <v>0</v>
      </c>
      <c r="AG23" s="17" t="n">
        <v>7</v>
      </c>
      <c r="AH23" s="17" t="n">
        <v>0</v>
      </c>
      <c r="AI23" s="17" t="s">
        <v>42</v>
      </c>
      <c r="AJ23" s="17" t="s">
        <v>43</v>
      </c>
      <c r="AK23" s="18" t="n">
        <v>-0.002115</v>
      </c>
      <c r="AL23" s="18" t="n">
        <v>-198.914751</v>
      </c>
      <c r="AM23" s="18" t="n">
        <v>1.891</v>
      </c>
      <c r="AN23" s="19" t="n">
        <v>-0.7553</v>
      </c>
      <c r="AO23" s="19" t="n">
        <v>18.83061</v>
      </c>
      <c r="AP23" s="22" t="s">
        <v>44</v>
      </c>
      <c r="AQ23" s="19" t="n">
        <v>0.18802</v>
      </c>
      <c r="AR23" s="19" t="n">
        <f aca="false">-AQ23*SQRT(4*$AD$1/7)/100</f>
        <v>-0.00251918441203123</v>
      </c>
      <c r="AS23" s="20" t="str">
        <f aca="false">IF($X23&lt;$AL23,U23,AI23)</f>
        <v>obl</v>
      </c>
      <c r="AT23" s="17" t="str">
        <f aca="false">IF($X23&lt;$AL23,V23,AJ23)</f>
        <v>[202]5/2</v>
      </c>
      <c r="AU23" s="18" t="n">
        <f aca="false">IF($X23&lt;$AL23,W23,AK23)</f>
        <v>-0.003242</v>
      </c>
      <c r="AV23" s="18" t="n">
        <f aca="false">IF($X23&lt;$AL23,X23,AL23)</f>
        <v>-198.916297</v>
      </c>
      <c r="AW23" s="18" t="n">
        <f aca="false">IF($X23&lt;$AL23,Y23,AM23)</f>
        <v>1.885</v>
      </c>
      <c r="AX23" s="17" t="n">
        <v>1</v>
      </c>
      <c r="AY23" s="17" t="str">
        <f aca="false">IF($AX23=1,"",IF($X23&lt;$AL23,Z23,AN23))</f>
        <v/>
      </c>
      <c r="AZ23" s="17" t="str">
        <f aca="false">IF($AX23=1,"",IF($X23&lt;$AL23,AA23,AO23)/100)</f>
        <v/>
      </c>
      <c r="BA23" s="17" t="str">
        <f aca="false">IF($AX23=1,"",IF($X23&lt;$AL23,AB23,AP23))</f>
        <v/>
      </c>
      <c r="BB23" s="17" t="str">
        <f aca="false">IF($AX23=1,"",IF($X23&lt;$AL23,AC23,AQ23))</f>
        <v/>
      </c>
      <c r="BC23" s="17" t="str">
        <f aca="false">IF($AX23=1,"",IF($X23&lt;$AL23,AD23,AR23))</f>
        <v/>
      </c>
      <c r="BD23" s="3" t="str">
        <f aca="false">IF(OR(AZ23="",N23=""),"",AZ23-N23)</f>
        <v/>
      </c>
      <c r="BE23" s="3" t="str">
        <f aca="false">IF(OR(BC23="",J23=""),"",BC23-J23)</f>
        <v/>
      </c>
    </row>
    <row r="24" customFormat="false" ht="14.25" hidden="false" customHeight="false" outlineLevel="0" collapsed="false">
      <c r="A24" s="1" t="s">
        <v>136</v>
      </c>
      <c r="B24" s="1" t="s">
        <v>137</v>
      </c>
      <c r="C24" s="1" t="s">
        <v>138</v>
      </c>
      <c r="D24" s="2" t="n">
        <v>123</v>
      </c>
      <c r="E24" s="2" t="n">
        <v>84</v>
      </c>
      <c r="F24" s="2" t="n">
        <f aca="false">D24+E24</f>
        <v>207</v>
      </c>
      <c r="G24" s="2" t="str">
        <f aca="false">IF(D24-EVEN(D24)=0,"Z-odd","N-odd")</f>
        <v>N-odd</v>
      </c>
      <c r="H24" s="1" t="n">
        <v>2.5</v>
      </c>
      <c r="I24" s="15" t="s">
        <v>55</v>
      </c>
      <c r="J24" s="1" t="n">
        <v>0.11</v>
      </c>
      <c r="K24" s="1" t="n">
        <v>0.01</v>
      </c>
      <c r="L24" s="15" t="n">
        <f aca="false">J24/(0.6*1.44*($F24^(2/3)))</f>
        <v>0.00363830172530349</v>
      </c>
      <c r="M24" s="15" t="n">
        <f aca="false">K24/(0.6*1.44*($F24^(2/3)))</f>
        <v>0.000330754702300318</v>
      </c>
      <c r="N24" s="3" t="n">
        <v>0.28</v>
      </c>
      <c r="O24" s="3" t="n">
        <v>0.03</v>
      </c>
      <c r="P24" s="4" t="n">
        <v>1</v>
      </c>
      <c r="Q24" s="16" t="s">
        <v>139</v>
      </c>
      <c r="R24" s="17" t="n">
        <v>-3</v>
      </c>
      <c r="S24" s="17" t="n">
        <v>61</v>
      </c>
      <c r="T24" s="17" t="n">
        <v>1</v>
      </c>
      <c r="U24" s="17" t="s">
        <v>40</v>
      </c>
      <c r="V24" s="17" t="s">
        <v>139</v>
      </c>
      <c r="W24" s="18" t="n">
        <v>4.97E-006</v>
      </c>
      <c r="X24" s="18" t="n">
        <v>-1623.225934</v>
      </c>
      <c r="Y24" s="18" t="n">
        <v>2.5</v>
      </c>
      <c r="Z24" s="19" t="n">
        <v>1.10094</v>
      </c>
      <c r="AA24" s="19" t="n">
        <v>17.85703</v>
      </c>
      <c r="AB24" s="22" t="s">
        <v>41</v>
      </c>
      <c r="AC24" s="19" t="n">
        <v>-17.42123</v>
      </c>
      <c r="AD24" s="19" t="n">
        <f aca="false">-AC24*SQRT(4*$AD$1/7)/100</f>
        <v>0.233418205799441</v>
      </c>
      <c r="AE24" s="20" t="s">
        <v>139</v>
      </c>
      <c r="AF24" s="17" t="n">
        <v>-1</v>
      </c>
      <c r="AG24" s="17" t="n">
        <v>65</v>
      </c>
      <c r="AH24" s="17" t="n">
        <v>1</v>
      </c>
      <c r="AI24" s="17" t="s">
        <v>42</v>
      </c>
      <c r="AJ24" s="17" t="s">
        <v>140</v>
      </c>
      <c r="AK24" s="18" t="n">
        <v>5E-006</v>
      </c>
      <c r="AL24" s="18" t="n">
        <v>-1623.225934</v>
      </c>
      <c r="AM24" s="18" t="n">
        <v>2.5</v>
      </c>
      <c r="AN24" s="19" t="n">
        <v>1.10092</v>
      </c>
      <c r="AO24" s="19" t="n">
        <v>17.85698</v>
      </c>
      <c r="AP24" s="22" t="s">
        <v>44</v>
      </c>
      <c r="AQ24" s="19" t="n">
        <v>-17.42087</v>
      </c>
      <c r="AR24" s="19" t="n">
        <f aca="false">-AQ24*SQRT(4*$AD$1/7)/100</f>
        <v>0.233413382342424</v>
      </c>
      <c r="AS24" s="20" t="str">
        <f aca="false">IF($X24&lt;$AL24,U24,AI24)</f>
        <v>pro </v>
      </c>
      <c r="AT24" s="17" t="str">
        <f aca="false">IF($X24&lt;$AL24,V24,AJ24)</f>
        <v> [503]5/2 </v>
      </c>
      <c r="AU24" s="18" t="n">
        <f aca="false">IF($X24&lt;$AL24,W24,AK24)</f>
        <v>5E-006</v>
      </c>
      <c r="AV24" s="18" t="n">
        <f aca="false">IF($X24&lt;$AL24,X24,AL24)</f>
        <v>-1623.225934</v>
      </c>
      <c r="AW24" s="18" t="n">
        <f aca="false">IF($X24&lt;$AL24,Y24,AM24)</f>
        <v>2.5</v>
      </c>
      <c r="AX24" s="17"/>
      <c r="AY24" s="19" t="n">
        <f aca="false">IF($AX24=1,"",IF($X24&lt;$AL24,Z24,AN24))</f>
        <v>1.10092</v>
      </c>
      <c r="AZ24" s="17" t="n">
        <f aca="false">IF($AX24=1,"",IF($X24&lt;$AL24,AA24,AO24)/100)</f>
        <v>0.1785698</v>
      </c>
      <c r="BA24" s="17" t="str">
        <f aca="false">IF($AX24=1,"",IF($X24&lt;$AL24,AB24,AP24))</f>
        <v> 5/2  </v>
      </c>
      <c r="BB24" s="19" t="n">
        <f aca="false">IF($AX24=1,"",IF($X24&lt;$AL24,AC24,AQ24))</f>
        <v>-17.42087</v>
      </c>
      <c r="BC24" s="19" t="n">
        <f aca="false">IF($AX24=1,"",IF($X24&lt;$AL24,AD24,AR24))</f>
        <v>0.233413382342424</v>
      </c>
      <c r="BD24" s="3" t="n">
        <f aca="false">IF(OR(AZ24="",N24=""),"",AZ24-N24)</f>
        <v>-0.1014302</v>
      </c>
      <c r="BE24" s="3" t="n">
        <f aca="false">IF(OR(BC24="",J24=""),"",BC24-J24)</f>
        <v>0.123413382342424</v>
      </c>
    </row>
    <row r="25" customFormat="false" ht="14.25" hidden="false" customHeight="false" outlineLevel="0" collapsed="false">
      <c r="A25" s="1" t="s">
        <v>141</v>
      </c>
      <c r="B25" s="1" t="s">
        <v>142</v>
      </c>
      <c r="C25" s="1" t="s">
        <v>143</v>
      </c>
      <c r="D25" s="2" t="n">
        <v>50</v>
      </c>
      <c r="E25" s="2" t="n">
        <v>37</v>
      </c>
      <c r="F25" s="2" t="n">
        <f aca="false">D25+E25</f>
        <v>87</v>
      </c>
      <c r="G25" s="2" t="str">
        <f aca="false">IF(D25-EVEN(D25)=0,"Z-odd","N-odd")</f>
        <v>Z-odd</v>
      </c>
      <c r="H25" s="1" t="n">
        <v>1.5</v>
      </c>
      <c r="I25" s="15" t="s">
        <v>55</v>
      </c>
      <c r="J25" s="1" t="n">
        <v>-0.58</v>
      </c>
      <c r="K25" s="1" t="n">
        <v>0.39</v>
      </c>
      <c r="L25" s="15" t="n">
        <f aca="false">J25/(0.6*1.44*($F25^(2/3)))</f>
        <v>-0.0341901822661546</v>
      </c>
      <c r="M25" s="15" t="n">
        <f aca="false">K25/(0.6*1.44*($F25^(2/3)))</f>
        <v>0.0229899501444833</v>
      </c>
      <c r="N25" s="3" t="n">
        <v>0.1335</v>
      </c>
      <c r="O25" s="3" t="n">
        <v>0.0005</v>
      </c>
      <c r="P25" s="4" t="n">
        <v>1</v>
      </c>
      <c r="Q25" s="16" t="s">
        <v>64</v>
      </c>
      <c r="R25" s="17" t="n">
        <v>-2</v>
      </c>
      <c r="S25" s="17" t="n">
        <v>21</v>
      </c>
      <c r="T25" s="17" t="n">
        <v>1</v>
      </c>
      <c r="U25" s="17" t="s">
        <v>40</v>
      </c>
      <c r="V25" s="17" t="s">
        <v>64</v>
      </c>
      <c r="W25" s="18" t="n">
        <v>2.4E-005</v>
      </c>
      <c r="X25" s="18" t="n">
        <v>-757.293318</v>
      </c>
      <c r="Y25" s="18" t="n">
        <v>1.5</v>
      </c>
      <c r="Z25" s="19" t="n">
        <v>3.32164</v>
      </c>
      <c r="AA25" s="19" t="n">
        <v>7.1964</v>
      </c>
      <c r="AB25" s="22" t="s">
        <v>49</v>
      </c>
      <c r="AC25" s="19" t="n">
        <v>-29.86847</v>
      </c>
      <c r="AD25" s="19" t="n">
        <f aca="false">-AC25*SQRT(4*$AD$1/7)/100</f>
        <v>0.400192447799289</v>
      </c>
      <c r="AE25" s="20" t="s">
        <v>64</v>
      </c>
      <c r="AF25" s="17" t="n">
        <v>-1</v>
      </c>
      <c r="AG25" s="17" t="n">
        <v>23</v>
      </c>
      <c r="AH25" s="17" t="n">
        <v>1</v>
      </c>
      <c r="AI25" s="17" t="s">
        <v>42</v>
      </c>
      <c r="AJ25" s="17" t="s">
        <v>65</v>
      </c>
      <c r="AK25" s="18" t="n">
        <v>1.6E-005</v>
      </c>
      <c r="AL25" s="18" t="n">
        <v>-757.293313</v>
      </c>
      <c r="AM25" s="18" t="n">
        <v>1.5</v>
      </c>
      <c r="AN25" s="19" t="n">
        <v>3.3215</v>
      </c>
      <c r="AO25" s="19" t="n">
        <v>7.21337</v>
      </c>
      <c r="AP25" s="22" t="s">
        <v>51</v>
      </c>
      <c r="AQ25" s="19" t="n">
        <v>-29.9941</v>
      </c>
      <c r="AR25" s="19" t="n">
        <f aca="false">-AQ25*SQRT(4*$AD$1/7)/100</f>
        <v>0.401875700313296</v>
      </c>
      <c r="AS25" s="20" t="str">
        <f aca="false">IF($X25&lt;$AL25,U25,AI25)</f>
        <v>obl</v>
      </c>
      <c r="AT25" s="17" t="str">
        <f aca="false">IF($X25&lt;$AL25,V25,AJ25)</f>
        <v>[301]3/2</v>
      </c>
      <c r="AU25" s="18" t="n">
        <f aca="false">IF($X25&lt;$AL25,W25,AK25)</f>
        <v>2.4E-005</v>
      </c>
      <c r="AV25" s="18" t="n">
        <f aca="false">IF($X25&lt;$AL25,X25,AL25)</f>
        <v>-757.293318</v>
      </c>
      <c r="AW25" s="18" t="n">
        <f aca="false">IF($X25&lt;$AL25,Y25,AM25)</f>
        <v>1.5</v>
      </c>
      <c r="AX25" s="17"/>
      <c r="AY25" s="19" t="n">
        <f aca="false">IF($AX25=1,"",IF($X25&lt;$AL25,Z25,AN25))</f>
        <v>3.32164</v>
      </c>
      <c r="AZ25" s="17" t="n">
        <f aca="false">IF($AX25=1,"",IF($X25&lt;$AL25,AA25,AO25)/100)</f>
        <v>0.071964</v>
      </c>
      <c r="BA25" s="17" t="str">
        <f aca="false">IF($AX25=1,"",IF($X25&lt;$AL25,AB25,AP25))</f>
        <v>3/2</v>
      </c>
      <c r="BB25" s="19" t="n">
        <f aca="false">IF($AX25=1,"",IF($X25&lt;$AL25,AC25,AQ25))</f>
        <v>-29.86847</v>
      </c>
      <c r="BC25" s="19" t="n">
        <f aca="false">IF($AX25=1,"",IF($X25&lt;$AL25,AD25,AR25))</f>
        <v>0.400192447799289</v>
      </c>
      <c r="BD25" s="3" t="n">
        <f aca="false">IF(OR(AZ25="",N25=""),"",AZ25-N25)</f>
        <v>-0.061536</v>
      </c>
      <c r="BE25" s="3" t="n">
        <f aca="false">IF(OR(BC25="",J25=""),"",BC25-J25)</f>
        <v>0.980192447799289</v>
      </c>
    </row>
    <row r="26" customFormat="false" ht="14.25" hidden="false" customHeight="false" outlineLevel="0" collapsed="false">
      <c r="A26" s="1" t="s">
        <v>144</v>
      </c>
      <c r="B26" s="1" t="s">
        <v>145</v>
      </c>
      <c r="C26" s="1" t="s">
        <v>146</v>
      </c>
      <c r="D26" s="2" t="n">
        <v>24</v>
      </c>
      <c r="E26" s="2" t="n">
        <v>21</v>
      </c>
      <c r="F26" s="2" t="n">
        <f aca="false">D26+E26</f>
        <v>45</v>
      </c>
      <c r="G26" s="2" t="str">
        <f aca="false">IF(D26-EVEN(D26)=0,"Z-odd","N-odd")</f>
        <v>Z-odd</v>
      </c>
      <c r="H26" s="1" t="n">
        <v>3.5</v>
      </c>
      <c r="I26" s="15" t="s">
        <v>55</v>
      </c>
      <c r="J26" s="1" t="n">
        <v>-0.07</v>
      </c>
      <c r="K26" s="1" t="n">
        <v>0.53</v>
      </c>
      <c r="L26" s="15" t="n">
        <f aca="false">J26/(0.6*1.44*($F26^(2/3)))</f>
        <v>-0.00640387169018273</v>
      </c>
      <c r="M26" s="15" t="n">
        <f aca="false">K26/(0.6*1.44*($F26^(2/3)))</f>
        <v>0.0484864570828121</v>
      </c>
      <c r="N26" s="3" t="n">
        <v>-0.22</v>
      </c>
      <c r="O26" s="3" t="n">
        <v>0.002</v>
      </c>
      <c r="P26" s="4" t="n">
        <v>1</v>
      </c>
      <c r="Q26" s="16" t="s">
        <v>147</v>
      </c>
      <c r="R26" s="17" t="n">
        <v>0</v>
      </c>
      <c r="S26" s="17" t="n">
        <v>7</v>
      </c>
      <c r="T26" s="17" t="n">
        <v>1</v>
      </c>
      <c r="U26" s="17" t="s">
        <v>40</v>
      </c>
      <c r="V26" s="17" t="s">
        <v>147</v>
      </c>
      <c r="W26" s="18" t="n">
        <v>6.08E-006</v>
      </c>
      <c r="X26" s="18" t="n">
        <v>-387.074944</v>
      </c>
      <c r="Y26" s="18" t="n">
        <v>3.5</v>
      </c>
      <c r="Z26" s="19" t="n">
        <v>5.57602</v>
      </c>
      <c r="AA26" s="19" t="n">
        <v>-14.95439</v>
      </c>
      <c r="AB26" s="22" t="s">
        <v>84</v>
      </c>
      <c r="AC26" s="19" t="n">
        <v>-54.40081</v>
      </c>
      <c r="AD26" s="19" t="n">
        <f aca="false">-AC26*SQRT(4*$AD$1/7)/100</f>
        <v>0.728888802009747</v>
      </c>
      <c r="AE26" s="20" t="s">
        <v>147</v>
      </c>
      <c r="AF26" s="17" t="n">
        <v>3</v>
      </c>
      <c r="AG26" s="17" t="n">
        <v>13</v>
      </c>
      <c r="AH26" s="17" t="n">
        <v>1</v>
      </c>
      <c r="AI26" s="17" t="s">
        <v>42</v>
      </c>
      <c r="AJ26" s="17" t="s">
        <v>148</v>
      </c>
      <c r="AK26" s="18" t="n">
        <v>6.04E-006</v>
      </c>
      <c r="AL26" s="18" t="n">
        <v>-387.074944</v>
      </c>
      <c r="AM26" s="18" t="n">
        <v>3.5</v>
      </c>
      <c r="AN26" s="19" t="n">
        <v>5.57602</v>
      </c>
      <c r="AO26" s="19" t="n">
        <v>-14.9544</v>
      </c>
      <c r="AP26" s="22" t="s">
        <v>86</v>
      </c>
      <c r="AQ26" s="19" t="n">
        <v>-54.40081</v>
      </c>
      <c r="AR26" s="19" t="n">
        <f aca="false">-AQ26*SQRT(4*$AD$1/7)/100</f>
        <v>0.728888802009747</v>
      </c>
      <c r="AS26" s="20" t="str">
        <f aca="false">IF($X26&lt;$AL26,U26,AI26)</f>
        <v>pro </v>
      </c>
      <c r="AT26" s="17" t="str">
        <f aca="false">IF($X26&lt;$AL26,V26,AJ26)</f>
        <v> [303]7/2 </v>
      </c>
      <c r="AU26" s="18" t="n">
        <f aca="false">IF($X26&lt;$AL26,W26,AK26)</f>
        <v>6.04E-006</v>
      </c>
      <c r="AV26" s="18" t="n">
        <f aca="false">IF($X26&lt;$AL26,X26,AL26)</f>
        <v>-387.074944</v>
      </c>
      <c r="AW26" s="18" t="n">
        <f aca="false">IF($X26&lt;$AL26,Y26,AM26)</f>
        <v>3.5</v>
      </c>
      <c r="AX26" s="17"/>
      <c r="AY26" s="19" t="n">
        <f aca="false">IF($AX26=1,"",IF($X26&lt;$AL26,Z26,AN26))</f>
        <v>5.57602</v>
      </c>
      <c r="AZ26" s="17" t="n">
        <f aca="false">IF($AX26=1,"",IF($X26&lt;$AL26,AA26,AO26)/100)</f>
        <v>-0.149544</v>
      </c>
      <c r="BA26" s="17" t="str">
        <f aca="false">IF($AX26=1,"",IF($X26&lt;$AL26,AB26,AP26))</f>
        <v> 7/2  </v>
      </c>
      <c r="BB26" s="19" t="n">
        <f aca="false">IF($AX26=1,"",IF($X26&lt;$AL26,AC26,AQ26))</f>
        <v>-54.40081</v>
      </c>
      <c r="BC26" s="19" t="n">
        <f aca="false">IF($AX26=1,"",IF($X26&lt;$AL26,AD26,AR26))</f>
        <v>0.728888802009747</v>
      </c>
      <c r="BD26" s="3" t="n">
        <f aca="false">IF(OR(AZ26="",N26=""),"",AZ26-N26)</f>
        <v>0.070456</v>
      </c>
      <c r="BE26" s="3" t="n">
        <f aca="false">IF(OR(BC26="",J26=""),"",BC26-J26)</f>
        <v>0.798888802009747</v>
      </c>
    </row>
    <row r="27" customFormat="false" ht="14.25" hidden="false" customHeight="false" outlineLevel="0" collapsed="false">
      <c r="A27" s="1" t="s">
        <v>149</v>
      </c>
      <c r="B27" s="1" t="s">
        <v>150</v>
      </c>
      <c r="C27" s="1" t="s">
        <v>151</v>
      </c>
      <c r="D27" s="2" t="n">
        <v>77</v>
      </c>
      <c r="E27" s="2" t="n">
        <v>54</v>
      </c>
      <c r="F27" s="2" t="n">
        <f aca="false">D27+E27</f>
        <v>131</v>
      </c>
      <c r="G27" s="2" t="str">
        <f aca="false">IF(D27-EVEN(D27)=0,"Z-odd","N-odd")</f>
        <v>N-odd</v>
      </c>
      <c r="H27" s="1" t="n">
        <v>1.5</v>
      </c>
      <c r="I27" s="15" t="s">
        <v>38</v>
      </c>
      <c r="J27" s="1" t="n">
        <v>0.048</v>
      </c>
      <c r="K27" s="1" t="n">
        <v>0.012</v>
      </c>
      <c r="L27" s="15" t="n">
        <f aca="false">J27/(0.6*1.44*($F27^(2/3)))</f>
        <v>0.00215383930370344</v>
      </c>
      <c r="M27" s="15" t="n">
        <f aca="false">K27/(0.6*1.44*($F27^(2/3)))</f>
        <v>0.000538459825925859</v>
      </c>
      <c r="N27" s="3" t="n">
        <v>-0.114</v>
      </c>
      <c r="O27" s="3" t="n">
        <v>0.001</v>
      </c>
      <c r="P27" s="4" t="n">
        <v>1</v>
      </c>
      <c r="Q27" s="16" t="s">
        <v>131</v>
      </c>
      <c r="R27" s="17" t="n">
        <v>0</v>
      </c>
      <c r="S27" s="17" t="n">
        <v>41</v>
      </c>
      <c r="T27" s="17" t="n">
        <v>0</v>
      </c>
      <c r="U27" s="17" t="s">
        <v>40</v>
      </c>
      <c r="V27" s="17" t="s">
        <v>131</v>
      </c>
      <c r="W27" s="18" t="n">
        <v>0.001501</v>
      </c>
      <c r="X27" s="18" t="n">
        <v>-1101.989772</v>
      </c>
      <c r="Y27" s="18" t="n">
        <v>1.5</v>
      </c>
      <c r="Z27" s="19" t="n">
        <v>0.48985</v>
      </c>
      <c r="AA27" s="19" t="n">
        <v>-32.16968</v>
      </c>
      <c r="AB27" s="22" t="s">
        <v>49</v>
      </c>
      <c r="AC27" s="19" t="n">
        <v>-4.58922</v>
      </c>
      <c r="AD27" s="19" t="n">
        <f aca="false">-AC27*SQRT(4*$AD$1/7)/100</f>
        <v>0.0614886261428675</v>
      </c>
      <c r="AE27" s="20" t="s">
        <v>48</v>
      </c>
      <c r="AF27" s="17" t="n">
        <v>0</v>
      </c>
      <c r="AG27" s="17" t="n">
        <v>43</v>
      </c>
      <c r="AH27" s="17" t="n">
        <v>0</v>
      </c>
      <c r="AI27" s="17" t="s">
        <v>42</v>
      </c>
      <c r="AJ27" s="17" t="s">
        <v>50</v>
      </c>
      <c r="AK27" s="18" t="n">
        <v>5.36E-006</v>
      </c>
      <c r="AL27" s="18" t="n">
        <v>-1103.079255</v>
      </c>
      <c r="AM27" s="18" t="n">
        <v>1.5</v>
      </c>
      <c r="AN27" s="19" t="n">
        <v>0.98683</v>
      </c>
      <c r="AO27" s="19" t="n">
        <v>42.95965</v>
      </c>
      <c r="AP27" s="22" t="s">
        <v>51</v>
      </c>
      <c r="AQ27" s="19" t="n">
        <v>-1.51349</v>
      </c>
      <c r="AR27" s="19" t="n">
        <f aca="false">-AQ27*SQRT(4*$AD$1/7)/100</f>
        <v>0.0202784832239397</v>
      </c>
      <c r="AS27" s="20" t="str">
        <f aca="false">IF($X27&lt;$AL27,U27,AI27)</f>
        <v>pro </v>
      </c>
      <c r="AT27" s="17" t="str">
        <f aca="false">IF($X27&lt;$AL27,V27,AJ27)</f>
        <v> [402]3/2 </v>
      </c>
      <c r="AU27" s="18" t="n">
        <f aca="false">IF($X27&lt;$AL27,W27,AK27)</f>
        <v>5.36E-006</v>
      </c>
      <c r="AV27" s="18" t="n">
        <f aca="false">IF($X27&lt;$AL27,X27,AL27)</f>
        <v>-1103.079255</v>
      </c>
      <c r="AW27" s="18" t="n">
        <f aca="false">IF($X27&lt;$AL27,Y27,AM27)</f>
        <v>1.5</v>
      </c>
      <c r="AX27" s="17"/>
      <c r="AY27" s="19" t="n">
        <f aca="false">IF($AX27=1,"",IF($X27&lt;$AL27,Z27,AN27))</f>
        <v>0.98683</v>
      </c>
      <c r="AZ27" s="17" t="n">
        <f aca="false">IF($AX27=1,"",IF($X27&lt;$AL27,AA27,AO27)/100)</f>
        <v>0.4295965</v>
      </c>
      <c r="BA27" s="17" t="str">
        <f aca="false">IF($AX27=1,"",IF($X27&lt;$AL27,AB27,AP27))</f>
        <v> 3/2  </v>
      </c>
      <c r="BB27" s="19" t="n">
        <f aca="false">IF($AX27=1,"",IF($X27&lt;$AL27,AC27,AQ27))</f>
        <v>-1.51349</v>
      </c>
      <c r="BC27" s="19" t="n">
        <f aca="false">IF($AX27=1,"",IF($X27&lt;$AL27,AD27,AR27))</f>
        <v>0.0202784832239397</v>
      </c>
      <c r="BD27" s="3" t="n">
        <f aca="false">IF(OR(AZ27="",N27=""),"",AZ27-N27)</f>
        <v>0.5435965</v>
      </c>
      <c r="BE27" s="3" t="n">
        <f aca="false">IF(OR(BC27="",J27=""),"",BC27-J27)</f>
        <v>-0.0277215167760603</v>
      </c>
    </row>
    <row r="28" customFormat="false" ht="14.25" hidden="false" customHeight="false" outlineLevel="0" collapsed="false">
      <c r="A28" s="1" t="s">
        <v>152</v>
      </c>
      <c r="B28" s="1" t="s">
        <v>153</v>
      </c>
      <c r="C28" s="1" t="s">
        <v>154</v>
      </c>
      <c r="D28" s="2" t="n">
        <v>103</v>
      </c>
      <c r="E28" s="2" t="n">
        <v>70</v>
      </c>
      <c r="F28" s="2" t="n">
        <f aca="false">D28+E28</f>
        <v>173</v>
      </c>
      <c r="G28" s="2" t="str">
        <f aca="false">IF(D28-EVEN(D28)=0,"Z-odd","N-odd")</f>
        <v>N-odd</v>
      </c>
      <c r="H28" s="1" t="n">
        <v>2.5</v>
      </c>
      <c r="I28" s="15" t="s">
        <v>55</v>
      </c>
      <c r="J28" s="1" t="n">
        <v>1.9</v>
      </c>
      <c r="K28" s="1" t="n">
        <v>3.8</v>
      </c>
      <c r="L28" s="15" t="n">
        <f aca="false">J28/(0.6*1.44*($F28^(2/3)))</f>
        <v>0.0708286759094077</v>
      </c>
      <c r="M28" s="15" t="n">
        <f aca="false">K28/(0.6*1.44*($F28^(2/3)))</f>
        <v>0.141657351818815</v>
      </c>
      <c r="N28" s="3" t="n">
        <v>2.8</v>
      </c>
      <c r="O28" s="3" t="n">
        <v>0.04</v>
      </c>
      <c r="P28" s="4" t="n">
        <v>1</v>
      </c>
      <c r="Q28" s="31" t="s">
        <v>155</v>
      </c>
      <c r="R28" s="32" t="n">
        <v>-2</v>
      </c>
      <c r="S28" s="32" t="n">
        <v>51</v>
      </c>
      <c r="T28" s="32" t="n">
        <v>1</v>
      </c>
      <c r="U28" s="17" t="s">
        <v>40</v>
      </c>
      <c r="V28" s="32" t="s">
        <v>155</v>
      </c>
      <c r="W28" s="33" t="n">
        <v>1E-005</v>
      </c>
      <c r="X28" s="33" t="n">
        <v>-1393.474674</v>
      </c>
      <c r="Y28" s="33" t="n">
        <v>2.5</v>
      </c>
      <c r="Z28" s="34" t="n">
        <v>0.03345</v>
      </c>
      <c r="AA28" s="34" t="n">
        <v>-213.76544</v>
      </c>
      <c r="AB28" s="35" t="s">
        <v>41</v>
      </c>
      <c r="AC28" s="34" t="n">
        <v>-1.28724</v>
      </c>
      <c r="AD28" s="19" t="n">
        <f aca="false">-AC28*SQRT(4*$AD$1/7)/100</f>
        <v>0.0172470744736894</v>
      </c>
      <c r="AE28" s="36" t="s">
        <v>155</v>
      </c>
      <c r="AF28" s="37" t="n">
        <v>0</v>
      </c>
      <c r="AG28" s="37" t="n">
        <v>51</v>
      </c>
      <c r="AH28" s="37" t="n">
        <v>1</v>
      </c>
      <c r="AI28" s="37" t="s">
        <v>42</v>
      </c>
      <c r="AJ28" s="37" t="s">
        <v>156</v>
      </c>
      <c r="AK28" s="38" t="n">
        <v>0.000105</v>
      </c>
      <c r="AL28" s="38" t="n">
        <v>-1397.66326</v>
      </c>
      <c r="AM28" s="38" t="n">
        <v>2.5</v>
      </c>
      <c r="AN28" s="39" t="n">
        <v>-0.40196</v>
      </c>
      <c r="AO28" s="39" t="n">
        <v>301.10314</v>
      </c>
      <c r="AP28" s="40" t="s">
        <v>44</v>
      </c>
      <c r="AQ28" s="39" t="n">
        <v>-1.90392</v>
      </c>
      <c r="AR28" s="19" t="n">
        <f aca="false">-AQ28*SQRT(4*$AD$1/7)/100</f>
        <v>0.0255096563437639</v>
      </c>
      <c r="AS28" s="36" t="str">
        <f aca="false">IF($X28&lt;$AL28,U28,AI28)</f>
        <v>pro </v>
      </c>
      <c r="AT28" s="37" t="str">
        <f aca="false">IF($X28&lt;$AL28,V28,AJ28)</f>
        <v> [512]5/2 </v>
      </c>
      <c r="AU28" s="38" t="n">
        <f aca="false">IF($X28&lt;$AL28,W28,AK28)</f>
        <v>0.000105</v>
      </c>
      <c r="AV28" s="38" t="n">
        <f aca="false">IF($X28&lt;$AL28,X28,AL28)</f>
        <v>-1397.66326</v>
      </c>
      <c r="AW28" s="38" t="n">
        <f aca="false">IF($X28&lt;$AL28,Y28,AM28)</f>
        <v>2.5</v>
      </c>
      <c r="AX28" s="37"/>
      <c r="AY28" s="19" t="n">
        <f aca="false">IF($AX28=1,"",IF($X28&lt;$AL28,Z28,AN28))</f>
        <v>-0.40196</v>
      </c>
      <c r="AZ28" s="17" t="n">
        <f aca="false">IF($AX28=1,"",IF($X28&lt;$AL28,AA28,AO28)/100)</f>
        <v>3.0110314</v>
      </c>
      <c r="BA28" s="17" t="str">
        <f aca="false">IF($AX28=1,"",IF($X28&lt;$AL28,AB28,AP28))</f>
        <v> 5/2  </v>
      </c>
      <c r="BB28" s="19" t="n">
        <f aca="false">IF($AX28=1,"",IF($X28&lt;$AL28,AC28,AQ28))</f>
        <v>-1.90392</v>
      </c>
      <c r="BC28" s="19" t="n">
        <f aca="false">IF($AX28=1,"",IF($X28&lt;$AL28,AD28,AR28))</f>
        <v>0.0255096563437639</v>
      </c>
      <c r="BD28" s="3" t="n">
        <f aca="false">IF(OR(AZ28="",N28=""),"",AZ28-N28)</f>
        <v>0.2110314</v>
      </c>
      <c r="BE28" s="3" t="n">
        <f aca="false">IF(OR(BC28="",J28=""),"",BC28-J28)</f>
        <v>-1.87449034365624</v>
      </c>
    </row>
    <row r="29" customFormat="false" ht="14.25" hidden="false" customHeight="false" outlineLevel="0" collapsed="false">
      <c r="D29" s="2" t="n">
        <v>118</v>
      </c>
      <c r="E29" s="2" t="n">
        <v>79</v>
      </c>
      <c r="F29" s="2" t="n">
        <v>197</v>
      </c>
      <c r="G29" s="2" t="s">
        <v>157</v>
      </c>
      <c r="H29" s="1" t="n">
        <v>1.5</v>
      </c>
      <c r="I29" s="15" t="s">
        <v>38</v>
      </c>
      <c r="J29" s="1" t="n">
        <v>0.0098</v>
      </c>
      <c r="K29" s="1" t="n">
        <v>0.0007</v>
      </c>
      <c r="L29" s="15" t="n">
        <f aca="false">J29/(0.6*1.44*($F29^(2/3)))</f>
        <v>0.000335018031476019</v>
      </c>
      <c r="M29" s="15" t="n">
        <f aca="false">K29/(0.6*1.44*($F29^(2/3)))</f>
        <v>2.39298593911442E-005</v>
      </c>
    </row>
    <row r="30" customFormat="false" ht="14.25" hidden="false" customHeight="false" outlineLevel="0" collapsed="false">
      <c r="D30" s="2" t="n">
        <v>103</v>
      </c>
      <c r="E30" s="2" t="n">
        <v>70</v>
      </c>
      <c r="F30" s="2" t="n">
        <f aca="false">D30+E30</f>
        <v>173</v>
      </c>
      <c r="J30" s="1" t="n">
        <v>6.7</v>
      </c>
      <c r="K30" s="1" t="n">
        <v>16</v>
      </c>
      <c r="L30" s="15" t="n">
        <f aca="false">J30/(0.6*1.44*($F30^(2/3)))</f>
        <v>0.249764278206859</v>
      </c>
      <c r="M30" s="15" t="n">
        <f aca="false">K30/(0.6*1.44*($F30^(2/3)))</f>
        <v>0.59645200765817</v>
      </c>
    </row>
  </sheetData>
  <mergeCells count="3">
    <mergeCell ref="Q1:AC1"/>
    <mergeCell ref="AE1:AR1"/>
    <mergeCell ref="AS1:B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2024-06-14T12:13:23Z</dcterms:created>
  <dc:creator>jacek</dc:creator>
  <dc:description/>
  <dc:language>en-US</dc:language>
  <cp:lastModifiedBy/>
  <dcterms:modified xsi:type="dcterms:W3CDTF">2025-10-28T14:01:28Z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