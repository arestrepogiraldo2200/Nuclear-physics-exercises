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<sst xmlns="http://schemas.openxmlformats.org/spreadsheetml/2006/main" count="33" uniqueCount="11">
  <si>
    <t xml:space="preserve">N</t>
  </si>
  <si>
    <t xml:space="preserve">Z</t>
  </si>
  <si>
    <t xml:space="preserve">A</t>
  </si>
  <si>
    <t xml:space="preserve">spin</t>
  </si>
  <si>
    <t xml:space="preserve">parity</t>
  </si>
  <si>
    <t xml:space="preserve">Omega</t>
  </si>
  <si>
    <t xml:space="preserve">Omega_err</t>
  </si>
  <si>
    <t xml:space="preserve">Omega/r2</t>
  </si>
  <si>
    <t xml:space="preserve">Omega/r2 err</t>
  </si>
  <si>
    <t xml:space="preserve">+</t>
  </si>
  <si>
    <t xml:space="preserve">-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</si>
</sst>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3.8" hidden="false" customHeight="false" outlineLevel="0" collapsed="false">
      <c r="A2" s="1" t="n">
        <v>14</v>
      </c>
      <c r="B2" s="1" t="n">
        <v>13</v>
      </c>
      <c r="C2" s="1" t="n">
        <f aca="false">A2+B2</f>
        <v>27</v>
      </c>
      <c r="D2" s="3" t="n">
        <v>2.5</v>
      </c>
      <c r="E2" s="2" t="s">
        <v>9</v>
      </c>
      <c r="F2" s="3" t="n">
        <v>0.159</v>
      </c>
      <c r="G2" s="3" t="n">
        <v>0.004</v>
      </c>
      <c r="H2" s="2" t="n">
        <f aca="false">F2/(0.6*1.44*($C2^(2/3)))</f>
        <v>0.0204475308641975</v>
      </c>
      <c r="I2" s="2" t="n">
        <f aca="false">G2/(0.6*1.44*($C2^(2/3)))</f>
        <v>0.00051440329218107</v>
      </c>
    </row>
    <row r="3" customFormat="false" ht="13.8" hidden="false" customHeight="false" outlineLevel="0" collapsed="false">
      <c r="A3" s="1" t="n">
        <v>81</v>
      </c>
      <c r="B3" s="1" t="n">
        <v>56</v>
      </c>
      <c r="C3" s="1" t="n">
        <f aca="false">A3+B3</f>
        <v>137</v>
      </c>
      <c r="D3" s="3" t="n">
        <v>1.5</v>
      </c>
      <c r="E3" s="2" t="s">
        <v>9</v>
      </c>
      <c r="F3" s="3" t="n">
        <v>0.05057</v>
      </c>
      <c r="G3" s="3" t="n">
        <v>0.00054</v>
      </c>
      <c r="H3" s="2" t="n">
        <f aca="false">F3/(0.6*1.44*($C3^(2/3)))</f>
        <v>0.00220241336098447</v>
      </c>
      <c r="I3" s="2" t="n">
        <f aca="false">G3/(0.6*1.44*($C3^(2/3)))</f>
        <v>2.35179595596523E-005</v>
      </c>
    </row>
    <row r="4" customFormat="false" ht="13.8" hidden="false" customHeight="false" outlineLevel="0" collapsed="false">
      <c r="A4" s="1" t="n">
        <v>126</v>
      </c>
      <c r="B4" s="1" t="n">
        <v>83</v>
      </c>
      <c r="C4" s="1" t="n">
        <f aca="false">A4+B4</f>
        <v>209</v>
      </c>
      <c r="D4" s="3" t="n">
        <v>4.5</v>
      </c>
      <c r="E4" s="2" t="s">
        <v>10</v>
      </c>
      <c r="F4" s="3" t="n">
        <v>0.51</v>
      </c>
      <c r="G4" s="3" t="n">
        <v>0.05</v>
      </c>
      <c r="H4" s="2" t="n">
        <f aca="false">F4/(0.6*1.44*($C4^(2/3)))</f>
        <v>0.0167607034799972</v>
      </c>
      <c r="I4" s="2" t="n">
        <f aca="false">G4/(0.6*1.44*($C4^(2/3)))</f>
        <v>0.00164320622352914</v>
      </c>
    </row>
    <row r="5" customFormat="false" ht="13.8" hidden="false" customHeight="false" outlineLevel="0" collapsed="false">
      <c r="A5" s="1" t="n">
        <v>44</v>
      </c>
      <c r="B5" s="1" t="n">
        <v>35</v>
      </c>
      <c r="C5" s="1" t="n">
        <f aca="false">A5+B5</f>
        <v>79</v>
      </c>
      <c r="D5" s="3" t="n">
        <v>1.5</v>
      </c>
      <c r="E5" s="2" t="s">
        <v>10</v>
      </c>
      <c r="F5" s="3" t="n">
        <v>0.116</v>
      </c>
      <c r="G5" s="3" t="n">
        <v>0</v>
      </c>
      <c r="H5" s="2" t="n">
        <f aca="false">F5/(0.6*1.44*($C5^(2/3)))</f>
        <v>0.00729221591559775</v>
      </c>
      <c r="I5" s="2" t="n">
        <f aca="false">G5/(0.6*1.44*($C5^(2/3)))</f>
        <v>0</v>
      </c>
    </row>
    <row r="6" customFormat="false" ht="13.8" hidden="false" customHeight="false" outlineLevel="0" collapsed="false">
      <c r="A6" s="1" t="n">
        <v>46</v>
      </c>
      <c r="B6" s="1" t="n">
        <v>35</v>
      </c>
      <c r="C6" s="1" t="n">
        <f aca="false">A6+B6</f>
        <v>81</v>
      </c>
      <c r="D6" s="3" t="n">
        <v>1.5</v>
      </c>
      <c r="E6" s="2" t="s">
        <v>10</v>
      </c>
      <c r="F6" s="3" t="n">
        <v>0.129</v>
      </c>
      <c r="G6" s="3" t="n">
        <v>0</v>
      </c>
      <c r="H6" s="2" t="n">
        <f aca="false">F6/(0.6*1.44*($C6^(2/3)))</f>
        <v>0.00797540271646329</v>
      </c>
      <c r="I6" s="2" t="n">
        <f aca="false">G6/(0.6*1.44*($C6^(2/3)))</f>
        <v>0</v>
      </c>
    </row>
    <row r="7" customFormat="false" ht="13.8" hidden="false" customHeight="false" outlineLevel="0" collapsed="false">
      <c r="A7" s="1" t="n">
        <v>18</v>
      </c>
      <c r="B7" s="1" t="n">
        <v>17</v>
      </c>
      <c r="C7" s="1" t="n">
        <f aca="false">A7+B7</f>
        <v>35</v>
      </c>
      <c r="D7" s="3" t="n">
        <v>1.5</v>
      </c>
      <c r="E7" s="2" t="s">
        <v>9</v>
      </c>
      <c r="F7" s="3" t="n">
        <v>-0.0188</v>
      </c>
      <c r="G7" s="3" t="n">
        <v>0</v>
      </c>
      <c r="H7" s="2" t="n">
        <f aca="false">F7/(0.6*1.44*($C7^(2/3)))</f>
        <v>-0.00203359942564635</v>
      </c>
      <c r="I7" s="2" t="n">
        <f aca="false">G7/(0.6*1.44*($C7^(2/3)))</f>
        <v>0</v>
      </c>
    </row>
    <row r="8" customFormat="false" ht="13.8" hidden="false" customHeight="false" outlineLevel="0" collapsed="false">
      <c r="A8" s="1" t="n">
        <v>20</v>
      </c>
      <c r="B8" s="1" t="n">
        <v>17</v>
      </c>
      <c r="C8" s="1" t="n">
        <f aca="false">A8+B8</f>
        <v>37</v>
      </c>
      <c r="D8" s="3" t="n">
        <v>1.5</v>
      </c>
      <c r="E8" s="2" t="s">
        <v>9</v>
      </c>
      <c r="F8" s="3" t="n">
        <v>-0.0146</v>
      </c>
      <c r="G8" s="3" t="n">
        <v>0</v>
      </c>
      <c r="H8" s="2" t="n">
        <f aca="false">F8/(0.6*1.44*($C8^(2/3)))</f>
        <v>-0.00152184806788135</v>
      </c>
      <c r="I8" s="2" t="n">
        <f aca="false">G8/(0.6*1.44*($C8^(2/3)))</f>
        <v>0</v>
      </c>
    </row>
    <row r="9" customFormat="false" ht="13.8" hidden="false" customHeight="false" outlineLevel="0" collapsed="false">
      <c r="A9" s="1" t="n">
        <v>78</v>
      </c>
      <c r="B9" s="1" t="n">
        <v>55</v>
      </c>
      <c r="C9" s="1" t="n">
        <f aca="false">A9+B9</f>
        <v>133</v>
      </c>
      <c r="D9" s="3" t="n">
        <v>3.5</v>
      </c>
      <c r="E9" s="2" t="s">
        <v>9</v>
      </c>
      <c r="F9" s="3" t="n">
        <v>0.8</v>
      </c>
      <c r="G9" s="3" t="n">
        <v>0.1</v>
      </c>
      <c r="H9" s="2" t="n">
        <f aca="false">F9/(0.6*1.44*($C9^(2/3)))</f>
        <v>0.0355365408103694</v>
      </c>
      <c r="I9" s="2" t="n">
        <f aca="false">G9/(0.6*1.44*($C9^(2/3)))</f>
        <v>0.00444206760129618</v>
      </c>
    </row>
    <row r="10" customFormat="false" ht="13.8" hidden="false" customHeight="false" outlineLevel="0" collapsed="false">
      <c r="A10" s="1" t="n">
        <v>38</v>
      </c>
      <c r="B10" s="1" t="n">
        <v>31</v>
      </c>
      <c r="C10" s="1" t="n">
        <f aca="false">A10+B10</f>
        <v>69</v>
      </c>
      <c r="D10" s="3" t="n">
        <v>1.5</v>
      </c>
      <c r="E10" s="2" t="s">
        <v>10</v>
      </c>
      <c r="F10" s="3" t="n">
        <v>0.107</v>
      </c>
      <c r="G10" s="3" t="n">
        <v>0.02</v>
      </c>
      <c r="H10" s="2" t="n">
        <f aca="false">F10/(0.6*1.44*($C10^(2/3)))</f>
        <v>0.00736157331048966</v>
      </c>
      <c r="I10" s="2" t="n">
        <f aca="false">G10/(0.6*1.44*($C10^(2/3)))</f>
        <v>0.00137599501130648</v>
      </c>
    </row>
    <row r="11" customFormat="false" ht="13.8" hidden="false" customHeight="false" outlineLevel="0" collapsed="false">
      <c r="A11" s="1" t="n">
        <v>40</v>
      </c>
      <c r="B11" s="1" t="n">
        <v>31</v>
      </c>
      <c r="C11" s="1" t="n">
        <f aca="false">A11+B11</f>
        <v>71</v>
      </c>
      <c r="D11" s="3" t="n">
        <v>1.5</v>
      </c>
      <c r="E11" s="2" t="s">
        <v>10</v>
      </c>
      <c r="F11" s="3" t="n">
        <v>0.146</v>
      </c>
      <c r="G11" s="3" t="n">
        <v>0.02</v>
      </c>
      <c r="H11" s="2" t="n">
        <f aca="false">F11/(0.6*1.44*($C11^(2/3)))</f>
        <v>0.00985523264566602</v>
      </c>
      <c r="I11" s="2" t="n">
        <f aca="false">G11/(0.6*1.44*($C11^(2/3)))</f>
        <v>0.00135003186926932</v>
      </c>
    </row>
    <row r="12" customFormat="false" ht="13.8" hidden="false" customHeight="false" outlineLevel="0" collapsed="false">
      <c r="A12" s="1" t="n">
        <v>91</v>
      </c>
      <c r="B12" s="1" t="n">
        <v>64</v>
      </c>
      <c r="C12" s="1" t="n">
        <f aca="false">A12+B12</f>
        <v>155</v>
      </c>
      <c r="D12" s="3" t="n">
        <v>1.5</v>
      </c>
      <c r="E12" s="2" t="s">
        <v>10</v>
      </c>
      <c r="F12" s="3" t="n">
        <v>-1.6</v>
      </c>
      <c r="G12" s="3" t="n">
        <v>0.6</v>
      </c>
      <c r="H12" s="2" t="n">
        <f aca="false">F12/(0.6*1.44*($C12^(2/3)))</f>
        <v>-0.0641778417556133</v>
      </c>
      <c r="I12" s="2" t="n">
        <f aca="false">G12/(0.6*1.44*($C12^(2/3)))</f>
        <v>0.024066690658355</v>
      </c>
    </row>
    <row r="13" customFormat="false" ht="13.8" hidden="false" customHeight="false" outlineLevel="0" collapsed="false">
      <c r="A13" s="1" t="n">
        <v>121</v>
      </c>
      <c r="B13" s="1" t="n">
        <v>80</v>
      </c>
      <c r="C13" s="1" t="n">
        <f aca="false">A13+B13</f>
        <v>201</v>
      </c>
      <c r="D13" s="3" t="n">
        <v>1.5</v>
      </c>
      <c r="E13" s="2" t="s">
        <v>10</v>
      </c>
      <c r="F13" s="3" t="n">
        <v>-0.13</v>
      </c>
      <c r="G13" s="3" t="n">
        <v>0.013</v>
      </c>
      <c r="H13" s="2" t="n">
        <f aca="false">F13/(0.6*1.44*($C13^(2/3)))</f>
        <v>-0.0043849593487688</v>
      </c>
      <c r="I13" s="2" t="n">
        <f aca="false">G13/(0.6*1.44*($C13^(2/3)))</f>
        <v>0.00043849593487688</v>
      </c>
    </row>
    <row r="14" customFormat="false" ht="13.8" hidden="false" customHeight="false" outlineLevel="0" collapsed="false">
      <c r="A14" s="1" t="n">
        <v>98</v>
      </c>
      <c r="B14" s="1" t="n">
        <v>67</v>
      </c>
      <c r="C14" s="1" t="n">
        <f aca="false">A14+B14</f>
        <v>165</v>
      </c>
      <c r="D14" s="3" t="n">
        <v>3.5</v>
      </c>
      <c r="E14" s="2" t="s">
        <v>10</v>
      </c>
      <c r="F14" s="3" t="n">
        <v>0.75</v>
      </c>
      <c r="G14" s="3" t="n">
        <v>0.5</v>
      </c>
      <c r="H14" s="2" t="n">
        <f aca="false">F14/(0.6*1.44*($C14^(2/3)))</f>
        <v>0.0288552533271918</v>
      </c>
      <c r="I14" s="2" t="n">
        <f aca="false">G14/(0.6*1.44*($C14^(2/3)))</f>
        <v>0.0192368355514612</v>
      </c>
    </row>
    <row r="15" customFormat="false" ht="13.8" hidden="false" customHeight="false" outlineLevel="0" collapsed="false">
      <c r="A15" s="1" t="n">
        <v>74</v>
      </c>
      <c r="B15" s="1" t="n">
        <v>53</v>
      </c>
      <c r="C15" s="1" t="n">
        <f aca="false">A15+B15</f>
        <v>127</v>
      </c>
      <c r="D15" s="3" t="n">
        <v>2.5</v>
      </c>
      <c r="E15" s="2" t="s">
        <v>9</v>
      </c>
      <c r="F15" s="3" t="n">
        <v>0.167</v>
      </c>
      <c r="G15" s="3" t="n">
        <v>0</v>
      </c>
      <c r="H15" s="2" t="n">
        <f aca="false">F15/(0.6*1.44*($C15^(2/3)))</f>
        <v>0.0076500965215565</v>
      </c>
      <c r="I15" s="2" t="n">
        <f aca="false">G15/(0.6*1.44*($C15^(2/3)))</f>
        <v>0</v>
      </c>
    </row>
    <row r="16" customFormat="false" ht="13.8" hidden="false" customHeight="false" outlineLevel="0" collapsed="false">
      <c r="A16" s="1" t="n">
        <v>64</v>
      </c>
      <c r="B16" s="1" t="n">
        <v>49</v>
      </c>
      <c r="C16" s="1" t="n">
        <f aca="false">A16+B16</f>
        <v>113</v>
      </c>
      <c r="D16" s="3" t="n">
        <v>4.5</v>
      </c>
      <c r="E16" s="2" t="s">
        <v>9</v>
      </c>
      <c r="F16" s="3" t="n">
        <v>0.565</v>
      </c>
      <c r="G16" s="3" t="n">
        <v>0.012</v>
      </c>
      <c r="H16" s="2" t="n">
        <f aca="false">F16/(0.6*1.44*($C16^(2/3)))</f>
        <v>0.0279779405504146</v>
      </c>
      <c r="I16" s="2" t="n">
        <f aca="false">G16/(0.6*1.44*($C16^(2/3)))</f>
        <v>0.000594221746203496</v>
      </c>
    </row>
    <row r="17" customFormat="false" ht="13.8" hidden="false" customHeight="false" outlineLevel="0" collapsed="false">
      <c r="A17" s="1" t="n">
        <v>66</v>
      </c>
      <c r="B17" s="1" t="n">
        <v>49</v>
      </c>
      <c r="C17" s="1" t="n">
        <f aca="false">A17+B17</f>
        <v>115</v>
      </c>
      <c r="D17" s="3" t="n">
        <v>4.5</v>
      </c>
      <c r="E17" s="2" t="s">
        <v>9</v>
      </c>
      <c r="F17" s="3" t="n">
        <v>0.574</v>
      </c>
      <c r="G17" s="3" t="n">
        <v>0.015</v>
      </c>
      <c r="H17" s="2" t="n">
        <f aca="false">F17/(0.6*1.44*($C17^(2/3)))</f>
        <v>0.0280930951212572</v>
      </c>
      <c r="I17" s="2" t="n">
        <f aca="false">G17/(0.6*1.44*($C17^(2/3)))</f>
        <v>0.000734140116409161</v>
      </c>
    </row>
    <row r="18" customFormat="false" ht="13.8" hidden="false" customHeight="false" outlineLevel="0" collapsed="false">
      <c r="A18" s="1" t="n">
        <v>20</v>
      </c>
      <c r="B18" s="1" t="n">
        <v>19</v>
      </c>
      <c r="C18" s="1" t="n">
        <f aca="false">A18+B18</f>
        <v>39</v>
      </c>
      <c r="D18" s="3" t="n">
        <v>1.5</v>
      </c>
      <c r="E18" s="2" t="s">
        <v>9</v>
      </c>
      <c r="F18" s="3" t="n">
        <v>0.066</v>
      </c>
      <c r="G18" s="3" t="n">
        <v>0</v>
      </c>
      <c r="H18" s="2" t="n">
        <f aca="false">F18/(0.6*1.44*($C18^(2/3)))</f>
        <v>0.00664233010561892</v>
      </c>
      <c r="I18" s="2" t="n">
        <f aca="false">G18/(0.6*1.44*($C18^(2/3)))</f>
        <v>0</v>
      </c>
    </row>
    <row r="19" customFormat="false" ht="13.8" hidden="false" customHeight="false" outlineLevel="0" collapsed="false">
      <c r="A19" s="1" t="n">
        <v>47</v>
      </c>
      <c r="B19" s="1" t="n">
        <v>36</v>
      </c>
      <c r="C19" s="1" t="n">
        <f aca="false">A19+B19</f>
        <v>83</v>
      </c>
      <c r="D19" s="3" t="n">
        <v>1.5</v>
      </c>
      <c r="E19" s="2" t="s">
        <v>9</v>
      </c>
      <c r="F19" s="3" t="n">
        <v>-0.18</v>
      </c>
      <c r="G19" s="3" t="n">
        <v>0.06</v>
      </c>
      <c r="H19" s="2" t="n">
        <f aca="false">F19/(0.6*1.44*($C19^(2/3)))</f>
        <v>-0.0109489725689127</v>
      </c>
      <c r="I19" s="2" t="n">
        <f aca="false">G19/(0.6*1.44*($C19^(2/3)))</f>
        <v>0.00364965752297092</v>
      </c>
    </row>
    <row r="20" customFormat="false" ht="13.8" hidden="false" customHeight="false" outlineLevel="0" collapsed="false">
      <c r="A20" s="1" t="n">
        <v>13</v>
      </c>
      <c r="B20" s="1" t="n">
        <v>12</v>
      </c>
      <c r="C20" s="1" t="n">
        <f aca="false">A20+B20</f>
        <v>25</v>
      </c>
      <c r="D20" s="3" t="n">
        <v>2.5</v>
      </c>
      <c r="E20" s="2" t="s">
        <v>9</v>
      </c>
      <c r="F20" s="3" t="n">
        <v>-0.042</v>
      </c>
      <c r="G20" s="3" t="n">
        <v>0.009</v>
      </c>
      <c r="H20" s="2" t="n">
        <f aca="false">F20/(0.6*1.44*($C20^(2/3)))</f>
        <v>-0.00568559004652502</v>
      </c>
      <c r="I20" s="2" t="n">
        <f aca="false">G20/(0.6*1.44*($C20^(2/3)))</f>
        <v>0.00121834072425536</v>
      </c>
    </row>
    <row r="21" customFormat="false" ht="13.8" hidden="false" customHeight="false" outlineLevel="0" collapsed="false">
      <c r="A21" s="1" t="n">
        <v>123</v>
      </c>
      <c r="B21" s="1" t="n">
        <v>84</v>
      </c>
      <c r="C21" s="1" t="n">
        <f aca="false">A21+B21</f>
        <v>207</v>
      </c>
      <c r="D21" s="3" t="n">
        <v>2.5</v>
      </c>
      <c r="E21" s="2" t="s">
        <v>10</v>
      </c>
      <c r="F21" s="3" t="n">
        <v>0.11</v>
      </c>
      <c r="G21" s="3" t="n">
        <v>0.01</v>
      </c>
      <c r="H21" s="2" t="n">
        <f aca="false">F21/(0.6*1.44*($C21^(2/3)))</f>
        <v>0.00363830172530349</v>
      </c>
      <c r="I21" s="2" t="n">
        <f aca="false">G21/(0.6*1.44*($C21^(2/3)))</f>
        <v>0.000330754702300318</v>
      </c>
    </row>
    <row r="22" customFormat="false" ht="13.8" hidden="false" customHeight="false" outlineLevel="0" collapsed="false">
      <c r="A22" s="1" t="n">
        <v>50</v>
      </c>
      <c r="B22" s="1" t="n">
        <v>37</v>
      </c>
      <c r="C22" s="1" t="n">
        <f aca="false">A22+B22</f>
        <v>87</v>
      </c>
      <c r="D22" s="3" t="n">
        <v>1.5</v>
      </c>
      <c r="E22" s="2" t="s">
        <v>10</v>
      </c>
      <c r="F22" s="3" t="n">
        <v>-0.58</v>
      </c>
      <c r="G22" s="3" t="n">
        <v>0.39</v>
      </c>
      <c r="H22" s="2" t="n">
        <f aca="false">F22/(0.6*1.44*($C22^(2/3)))</f>
        <v>-0.0341901822661546</v>
      </c>
      <c r="I22" s="2" t="n">
        <f aca="false">G22/(0.6*1.44*($C22^(2/3)))</f>
        <v>0.0229899501444833</v>
      </c>
    </row>
    <row r="23" customFormat="false" ht="13.8" hidden="false" customHeight="false" outlineLevel="0" collapsed="false">
      <c r="A23" s="1" t="n">
        <v>24</v>
      </c>
      <c r="B23" s="1" t="n">
        <v>21</v>
      </c>
      <c r="C23" s="1" t="n">
        <f aca="false">A23+B23</f>
        <v>45</v>
      </c>
      <c r="D23" s="3" t="n">
        <v>3.5</v>
      </c>
      <c r="E23" s="2" t="s">
        <v>10</v>
      </c>
      <c r="F23" s="3" t="n">
        <v>-0.07</v>
      </c>
      <c r="G23" s="3" t="n">
        <v>0.53</v>
      </c>
      <c r="H23" s="2" t="n">
        <f aca="false">F23/(0.6*1.44*($C23^(2/3)))</f>
        <v>-0.00640387169018273</v>
      </c>
      <c r="I23" s="2" t="n">
        <f aca="false">G23/(0.6*1.44*($C23^(2/3)))</f>
        <v>0.0484864570828121</v>
      </c>
    </row>
    <row r="24" customFormat="false" ht="13.8" hidden="false" customHeight="false" outlineLevel="0" collapsed="false">
      <c r="A24" s="1" t="n">
        <v>77</v>
      </c>
      <c r="B24" s="1" t="n">
        <v>54</v>
      </c>
      <c r="C24" s="1" t="n">
        <f aca="false">A24+B24</f>
        <v>131</v>
      </c>
      <c r="D24" s="3" t="n">
        <v>1.5</v>
      </c>
      <c r="E24" s="2" t="s">
        <v>9</v>
      </c>
      <c r="F24" s="3" t="n">
        <v>0.048</v>
      </c>
      <c r="G24" s="3" t="n">
        <v>0.012</v>
      </c>
      <c r="H24" s="2" t="n">
        <f aca="false">F24/(0.6*1.44*($C24^(2/3)))</f>
        <v>0.00215383930370344</v>
      </c>
      <c r="I24" s="2" t="n">
        <f aca="false">G24/(0.6*1.44*($C24^(2/3)))</f>
        <v>0.000538459825925859</v>
      </c>
    </row>
    <row r="25" customFormat="false" ht="13.8" hidden="false" customHeight="false" outlineLevel="0" collapsed="false">
      <c r="A25" s="1" t="n">
        <v>103</v>
      </c>
      <c r="B25" s="1" t="n">
        <v>70</v>
      </c>
      <c r="C25" s="1" t="n">
        <f aca="false">A25+B25</f>
        <v>173</v>
      </c>
      <c r="D25" s="3" t="n">
        <v>2.5</v>
      </c>
      <c r="E25" s="2" t="s">
        <v>10</v>
      </c>
      <c r="F25" s="3" t="n">
        <v>1.9</v>
      </c>
      <c r="G25" s="3" t="n">
        <v>3.8</v>
      </c>
      <c r="H25" s="2" t="n">
        <f aca="false">F25/(0.6*1.44*($C25^(2/3)))</f>
        <v>0.0708286759094077</v>
      </c>
      <c r="I25" s="2" t="n">
        <f aca="false">G25/(0.6*1.44*($C25^(2/3)))</f>
        <v>0.141657351818815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2025-10-25T14:08:02Z</dcterms:created>
  <dc:creator/>
  <dc:description/>
  <dc:language>en-US</dc:language>
  <cp:lastModifiedBy/>
  <dcterms:modified xsi:type="dcterms:W3CDTF">2025-10-25T14:08:09Z</dcterms:modified>
  <cp:revision>1</cp:revision>
  <dc:subject/>
  <dc:title/>
</cp:coreProperties>
</file>